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فهرست و راهنما" sheetId="1" state="visible" r:id="rId3"/>
    <sheet name="دفتر ثبت اسناد" sheetId="2" state="visible" r:id="rId4"/>
    <sheet name="صورت حساب کلی" sheetId="3" state="visible" r:id="rId5"/>
    <sheet name="تفکیک شهریه و هزینه ها" sheetId="4" state="visible" r:id="rId6"/>
    <sheet name="حقوق" sheetId="5" state="visible" r:id="rId7"/>
    <sheet name="سند پرداخت وجه" sheetId="6" state="visible" r:id="rId8"/>
    <sheet name="درخواست رخصتی" sheetId="7" state="visible" r:id="rId9"/>
    <sheet name="فورم ماموریت" sheetId="8" state="visible" r:id="rId10"/>
    <sheet name="وکالت موقت" sheetId="9" state="visible" r:id="rId11"/>
    <sheet name="قرارداد ترانسپورت" sheetId="10" state="visible" r:id="rId12"/>
    <sheet name="نامه انتقالی" sheetId="11" state="visible" r:id="rId13"/>
    <sheet name="داده" sheetId="12" state="hidden" r:id="rId14"/>
  </sheets>
  <definedNames>
    <definedName function="false" hidden="false" localSheetId="4" name="_xlnm.Print_Titles" vbProcedure="false">حقوق!$1:$7</definedName>
    <definedName function="false" hidden="false" localSheetId="1" name="_xlnm.Print_Titles" vbProcedure="false">'دفتر ثبت اسناد'!$1:$6</definedName>
    <definedName function="false" hidden="false" name="GL_Available" vbProcedure="false">'صورت حساب کلی'!$F$18</definedName>
    <definedName function="false" hidden="false" name="GL_BudgetDate" vbProcedure="false">'صورت حساب کلی'!$E$9</definedName>
    <definedName function="false" hidden="false" name="GL_Center" vbProcedure="false">'صورت حساب کلی'!$B$8</definedName>
    <definedName function="false" hidden="false" name="GL_Checks" vbProcedure="false">'صورت حساب کلی'!$C$48:$C$52</definedName>
    <definedName function="false" hidden="false" name="GL_CurrentBalance" vbProcedure="false">'صورت حساب کلی'!$F$21</definedName>
    <definedName function="false" hidden="false" name="GL_CurrentDue" vbProcedure="false">'صورت حساب کلی'!$F$20</definedName>
    <definedName function="false" hidden="false" name="GL_District" vbProcedure="false">'صورت حساب کلی'!$H$8</definedName>
    <definedName function="false" hidden="false" name="GL_DocDate" vbProcedure="false">'صورت حساب کلی'!$E$5</definedName>
    <definedName function="false" hidden="false" name="GL_DocNo" vbProcedure="false">'صورت حساب کلی'!$C$5</definedName>
    <definedName function="false" hidden="false" name="GL_Exp_Amount" vbProcedure="false">'صورت حساب کلی'!$E$36</definedName>
    <definedName function="false" hidden="false" name="GL_Exp_Note" vbProcedure="false">'صورت حساب کلی'!$H$36</definedName>
    <definedName function="false" hidden="false" name="GL_Exp_Province" vbProcedure="false">'صورت حساب کلی'!$D$36</definedName>
    <definedName function="false" hidden="false" name="GL_Exp_Title" vbProcedure="false">'صورت حساب کلی'!$B$36</definedName>
    <definedName function="false" hidden="false" name="GL_Exp_Total" vbProcedure="false">'صورت حساب کلی'!$E$45</definedName>
    <definedName function="false" hidden="false" name="GL_Manager" vbProcedure="false">'صورت حساب کلی'!$B$9</definedName>
    <definedName function="false" hidden="false" name="GL_Month" vbProcedure="false">'صورت حساب کلی'!$B$10</definedName>
    <definedName function="false" hidden="false" name="GL_Mth_Month" vbProcedure="false">'صورت حساب کلی'!$B$26</definedName>
    <definedName function="false" hidden="false" name="GL_Mth_Paid" vbProcedure="false">'صورت حساب کلی'!$G$26</definedName>
    <definedName function="false" hidden="false" name="GL_Mth_PaidTotal" vbProcedure="false">'صورت حساب کلی'!$G$32</definedName>
    <definedName function="false" hidden="false" name="GL_Mth_Recv" vbProcedure="false">'صورت حساب کلی'!$E$26</definedName>
    <definedName function="false" hidden="false" name="GL_Mth_Total" vbProcedure="false">'صورت حساب کلی'!$E$32</definedName>
    <definedName function="false" hidden="false" name="GL_Mth_Year" vbProcedure="false">'صورت حساب کلی'!$D$26</definedName>
    <definedName function="false" hidden="false" name="GL_PayFrom" vbProcedure="false">'صورت حساب کلی'!$B$11</definedName>
    <definedName function="false" hidden="false" name="GL_PayTo" vbProcedure="false">'صورت حساب کلی'!$E$11</definedName>
    <definedName function="false" hidden="false" name="GL_PreparedBy" vbProcedure="false">'صورت حساب کلی'!$H$9</definedName>
    <definedName function="false" hidden="false" name="GL_PrevBalance" vbProcedure="false">'صورت حساب کلی'!$F$16</definedName>
    <definedName function="false" hidden="false" name="GL_PrevDue" vbProcedure="false">'صورت حساب کلی'!$F$17</definedName>
    <definedName function="false" hidden="false" name="GL_Province" vbProcedure="false">'صورت حساب کلی'!$E$8</definedName>
    <definedName function="false" hidden="false" name="GL_RecvAfn" vbProcedure="false">'صورت حساب کلی'!$F$15</definedName>
    <definedName function="false" hidden="false" name="GL_RecvRate" vbProcedure="false">'صورت حساب کلی'!$E$15</definedName>
    <definedName function="false" hidden="false" name="GL_RecvUsd" vbProcedure="false">'صورت حساب کلی'!$C$15</definedName>
    <definedName function="false" hidden="false" name="GL_StipendTitle" vbProcedure="false">'صورت حساب کلی'!$H$11</definedName>
    <definedName function="false" hidden="false" name="GL_TotalPaid" vbProcedure="false">'صورت حساب کلی'!$F$19</definedName>
    <definedName function="false" hidden="false" name="GL_Year" vbProcedure="false">'صورت حساب کلی'!$E$10</definedName>
    <definedName function="false" hidden="false" name="IX_Address" vbProcedure="false">'فهرست و راهنما'!$C$11</definedName>
    <definedName function="false" hidden="false" name="IX_Center" vbProcedure="false">'فهرست و راهنما'!$C$7</definedName>
    <definedName function="false" hidden="false" name="IX_District" vbProcedure="false">'فهرست و راهنما'!$C$9</definedName>
    <definedName function="false" hidden="false" name="IX_FiscalYear" vbProcedure="false">'فهرست و راهنما'!$C$13</definedName>
    <definedName function="false" hidden="false" name="IX_Manager" vbProcedure="false">'فهرست و راهنما'!$C$10</definedName>
    <definedName function="false" hidden="false" name="IX_Org1" vbProcedure="false">'فهرست و راهنما'!$C$5</definedName>
    <definedName function="false" hidden="false" name="IX_Org2" vbProcedure="false">'فهرست و راهنما'!$C$6</definedName>
    <definedName function="false" hidden="false" name="IX_Phone" vbProcedure="false">'فهرست و راهنما'!$C$12</definedName>
    <definedName function="false" hidden="false" name="IX_Province" vbProcedure="false">'فهرست و راهنما'!$C$8</definedName>
    <definedName function="false" hidden="false" name="PAY_Amount" vbProcedure="false">حقوق!$F$8</definedName>
    <definedName function="false" hidden="false" name="PAY_Desc" vbProcedure="false">حقوق!$E$8</definedName>
    <definedName function="false" hidden="false" name="PAY_LastRow" vbProcedure="false">حقوق!$F$32</definedName>
    <definedName function="false" hidden="false" name="PAY_Name" vbProcedure="false">حقوق!$B$8</definedName>
    <definedName function="false" hidden="false" name="PAY_Position" vbProcedure="false">حقوق!$C$8</definedName>
    <definedName function="false" hidden="false" name="PAY_Status" vbProcedure="false">حقوق!$G$8</definedName>
    <definedName function="false" hidden="false" name="PAY_Total" vbProcedure="false">حقوق!$F$33</definedName>
    <definedName function="false" hidden="false" name="PAY_Type" vbProcedure="false">حقوق!$D$8</definedName>
    <definedName function="false" hidden="false" name="TF_Sal_Afn" vbProcedure="false">'تفکیک شهریه و هزینه ها'!$F$22</definedName>
    <definedName function="false" hidden="false" name="TF_Sal_PrevBal" vbProcedure="false">'تفکیک شهریه و هزینه ها'!$F$23</definedName>
    <definedName function="false" hidden="false" name="TF_Sal_PrevDue" vbProcedure="false">'تفکیک شهریه و هزینه ها'!$F$24</definedName>
    <definedName function="false" hidden="false" name="TF_Sal_Rate" vbProcedure="false">'تفکیک شهریه و هزینه ها'!$E$22</definedName>
    <definedName function="false" hidden="false" name="TF_Sal_Usd" vbProcedure="false">'تفکیک شهریه و هزینه ها'!$C$22</definedName>
    <definedName function="false" hidden="false" name="TF_Stip_Afn" vbProcedure="false">'تفکیک شهریه و هزینه ها'!$F$12</definedName>
    <definedName function="false" hidden="false" name="TF_Stip_PrevBal" vbProcedure="false">'تفکیک شهریه و هزینه ها'!$F$13</definedName>
    <definedName function="false" hidden="false" name="TF_Stip_PrevDue" vbProcedure="false">'تفکیک شهریه و هزینه ها'!$F$14</definedName>
    <definedName function="false" hidden="false" name="TF_Stip_Rate" vbProcedure="false">'تفکیک شهریه و هزینه ها'!$E$12</definedName>
    <definedName function="false" hidden="false" name="TF_Stip_Usd" vbProcedure="false">'تفکیک شهریه و هزینه ها'!$C$12</definedName>
    <definedName name="PV_Account">'سند پرداخت وجه'!$C$8</definedName>
    <definedName name="PV_AmountWords">'سند پرداخت وجه'!$C$24</definedName>
    <definedName name="PV_Attachments">'سند پرداخت وجه'!$C$33</definedName>
    <definedName name="PV_Currency">'سند پرداخت وجه'!$G$9</definedName>
    <definedName name="PV_Date">'سند پرداخت وجه'!$E$5</definedName>
    <definedName name="PV_DocNo">'سند پرداخت وجه'!$C$5</definedName>
    <definedName name="PV_Item_Desc">'سند پرداخت وجه'!$B$13</definedName>
    <definedName name="PV_Item_Note">'سند پرداخت وجه'!$G$13</definedName>
    <definedName name="PV_Item_Price">'سند پرداخت وجه'!$E$13</definedName>
    <definedName name="PV_Item_Qty">'سند پرداخت وجه'!$D$13</definedName>
    <definedName name="PV_PayType">'سند پرداخت وجه'!$E$8</definedName>
    <definedName name="PV_Receiver">'سند پرداخت وجه'!$C$27</definedName>
    <definedName name="PV_ReceiverPhone">'سند پرداخت وجه'!$G$27</definedName>
    <definedName name="PV_ReceiverTazkira">'سند پرداخت وجه'!$E$27</definedName>
    <definedName name="PV_Subject">'سند پرداخت وجه'!$C$9</definedName>
    <definedName name="PV_Total">'سند پرداخت وجه'!$F$23</definedName>
    <definedName name="PV_TransferNo">'سند پرداخت وجه'!$G$8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<sst xmlns="http://schemas.openxmlformats.org/spreadsheetml/2006/main" count="676" uniqueCount="418">
  <si>
    <t xml:space="preserve">مؤسسهٔ خیریه، فرهنگی و اجتماعی منجی موعود ( عج )</t>
  </si>
  <si>
    <t xml:space="preserve">تحت اشراف حاج آقای مصباح موسوی، نمایندهٔ مرجع عالیقدر شیعه حضرت آیت‌الله العظمی سیستانی ( دام ظله العالی )</t>
  </si>
  <si>
    <t xml:space="preserve">مجموعهٔ فورم ها و اسناد اداری – مالی</t>
  </si>
  <si>
    <t xml:space="preserve">الف)  معلومات پایهٔ مؤسسه و مرکز   ( یک بار تکمیل شود – در تمام فورم ها خودکار درج می‌گردد )</t>
  </si>
  <si>
    <t xml:space="preserve">نام مؤسسه ( سطر اول سرصفحه )</t>
  </si>
  <si>
    <t xml:space="preserve">در سرصفحهٔ تمام فورم ها ظاهر می‌شود.</t>
  </si>
  <si>
    <t xml:space="preserve">سطر دوم سرصفحه</t>
  </si>
  <si>
    <t xml:space="preserve">خط دوم سرصفحه؛ در صورت نیاز خالی گذاشته شود.</t>
  </si>
  <si>
    <t xml:space="preserve">نام مرکز</t>
  </si>
  <si>
    <t xml:space="preserve">مثال: دفتر ایتام / دارالایتام هرات</t>
  </si>
  <si>
    <t xml:space="preserve">ولایت</t>
  </si>
  <si>
    <t xml:space="preserve">ولسوالی</t>
  </si>
  <si>
    <t xml:space="preserve">مسؤل مرکز</t>
  </si>
  <si>
    <t xml:space="preserve">امضاء کنندهٔ نهایی اسناد.</t>
  </si>
  <si>
    <t xml:space="preserve">آدرس مرکز</t>
  </si>
  <si>
    <t xml:space="preserve">در قراردادها و نامه ها استفاده می‌شود.</t>
  </si>
  <si>
    <t xml:space="preserve">شماره تماس مرکز</t>
  </si>
  <si>
    <t xml:space="preserve">سال مالی</t>
  </si>
  <si>
    <t xml:space="preserve">سال هجری شمسی جاری.</t>
  </si>
  <si>
    <t xml:space="preserve">ب)  فهرست فورم ها و اسناد</t>
  </si>
  <si>
    <t xml:space="preserve">#</t>
  </si>
  <si>
    <t xml:space="preserve">عنوان سند</t>
  </si>
  <si>
    <t xml:space="preserve">کود فورم</t>
  </si>
  <si>
    <t xml:space="preserve">کاربرد</t>
  </si>
  <si>
    <t xml:space="preserve">امضاهای لازم</t>
  </si>
  <si>
    <t xml:space="preserve">دفتر ثبت اسناد</t>
  </si>
  <si>
    <t xml:space="preserve">REG-01</t>
  </si>
  <si>
    <t xml:space="preserve">ثبت و پیگیری تمام اسناد صادره و وارده</t>
  </si>
  <si>
    <t xml:space="preserve">مسؤل اداری</t>
  </si>
  <si>
    <t xml:space="preserve">صورت حساب کلی</t>
  </si>
  <si>
    <t xml:space="preserve">FIN-02</t>
  </si>
  <si>
    <t xml:space="preserve">صورت حساب دوره‌ای شهریه، حقوق و مصارف هر مرکز</t>
  </si>
  <si>
    <t xml:space="preserve">ترتیب کننده، مسؤل ایتام، مسؤل مرکز</t>
  </si>
  <si>
    <t xml:space="preserve">تفکیک شهریه و هزینه ها</t>
  </si>
  <si>
    <t xml:space="preserve">FIN-03</t>
  </si>
  <si>
    <t xml:space="preserve">تفکیک حسابات بخش شهریه از بخش حقوق و مصارف</t>
  </si>
  <si>
    <t xml:space="preserve">حقوق</t>
  </si>
  <si>
    <t xml:space="preserve">FIN-04</t>
  </si>
  <si>
    <t xml:space="preserve">جدول معاشات، حق‌الزحمه و حق‌الماموریت کارمندان</t>
  </si>
  <si>
    <t xml:space="preserve">ترتیب کننده، مسؤل ایتام</t>
  </si>
  <si>
    <t xml:space="preserve">سند پرداخت وجه</t>
  </si>
  <si>
    <t xml:space="preserve">FIN-01</t>
  </si>
  <si>
    <t xml:space="preserve">پرداخت نقدی / حواله بابت مصارف و خریداری</t>
  </si>
  <si>
    <t xml:space="preserve">ترتیب کننده، تأیید کننده، پرداخت کننده، دریافت کننده</t>
  </si>
  <si>
    <t xml:space="preserve">درخواست رخصتی</t>
  </si>
  <si>
    <t xml:space="preserve">HR-01</t>
  </si>
  <si>
    <t xml:space="preserve">درخواست رخصتی عادی، مریضی و اضطراری کارمندان</t>
  </si>
  <si>
    <t xml:space="preserve">کارمند، مسؤل مستقیم، مدیریت</t>
  </si>
  <si>
    <t xml:space="preserve">فورم ماموریت</t>
  </si>
  <si>
    <t xml:space="preserve">HR-02</t>
  </si>
  <si>
    <t xml:space="preserve">ثبت شروع و ختم ماموریت و تصفیهٔ حق‌الماموریت</t>
  </si>
  <si>
    <t xml:space="preserve">کارمند، بخش اداری، مدیریت</t>
  </si>
  <si>
    <t xml:space="preserve">وکالت موقت</t>
  </si>
  <si>
    <t xml:space="preserve">ORP-01</t>
  </si>
  <si>
    <t xml:space="preserve">تفویض موقت صلاحیت دریافت شهریهٔ ایتام</t>
  </si>
  <si>
    <t xml:space="preserve">موکل، وکیل، دو شاهد، دفتر</t>
  </si>
  <si>
    <t xml:space="preserve">قرارداد ترانسپورت</t>
  </si>
  <si>
    <t xml:space="preserve">CON-01</t>
  </si>
  <si>
    <t xml:space="preserve">قرارداد خدمات رانندگی و ترانسپورت</t>
  </si>
  <si>
    <t xml:space="preserve">راننده، مؤسسه، شاهد</t>
  </si>
  <si>
    <t xml:space="preserve">نامه انتقالی</t>
  </si>
  <si>
    <t xml:space="preserve">ORP-02</t>
  </si>
  <si>
    <t xml:space="preserve">معرفی و انتقال خانوادهٔ تحت پوشش به ولایت دیگر</t>
  </si>
  <si>
    <t xml:space="preserve">مسؤل مرکز مبدأ، مرجع مقصد</t>
  </si>
  <si>
    <t xml:space="preserve">ج)  راهنمای رنگ ها</t>
  </si>
  <si>
    <t xml:space="preserve">خانهٔ ورودی</t>
  </si>
  <si>
    <t xml:space="preserve">توسط کارمند مربوطه تکمیل می‌گردد.</t>
  </si>
  <si>
    <t xml:space="preserve">نمونه</t>
  </si>
  <si>
    <t xml:space="preserve">خانهٔ فورمول</t>
  </si>
  <si>
    <t xml:space="preserve">خودکار محاسبه می‌شود – تغییر داده نشود.</t>
  </si>
  <si>
    <t xml:space="preserve">ارتباط با شیت دیگر</t>
  </si>
  <si>
    <t xml:space="preserve">از شیت «فهرست و راهنما» یا شیت دیگر خوانده می‌شود.</t>
  </si>
  <si>
    <t xml:space="preserve">خانهٔ کلیدی</t>
  </si>
  <si>
    <t xml:space="preserve">ارقام نهایی و مجموع ها.</t>
  </si>
  <si>
    <t xml:space="preserve">راهنمای تکمیل:</t>
  </si>
  <si>
    <t xml:space="preserve">۱.  خانه‌های زرد رنگ محل درج معلومات توسط کارمند مربوطه است.</t>
  </si>
  <si>
    <t xml:space="preserve">۲.  خانه‌های خاکستری دارای فورمول بوده و نباید تغییر داده شود؛ متن سبز رنگ از شیت «فهرست و راهنما» خوانده می‌شود.</t>
  </si>
  <si>
    <t xml:space="preserve">۳.  پس از تکمیل و اخذ تمامی امضاها، سند به فورمت PDF تبدیل و در «دفتر ثبت اسناد» ثبت گردد.</t>
  </si>
  <si>
    <t xml:space="preserve">۴.  اسناد و ضمایم مرتبط، در ادامهٔ همین سند ضمیمه گردد.</t>
  </si>
  <si>
    <t xml:space="preserve">۵.  جهت قفل کردن فورمول ها:  Review ← Protect Sheet  ( بدون رمز ) – تنها خانه‌های زرد قابل تایپ می‌ماند.</t>
  </si>
  <si>
    <t xml:space="preserve">۵.  برای رفتن به هر فورم، روی عنوان آبی رنگ آن در جدول فوق کلیک نمایید.</t>
  </si>
  <si>
    <t xml:space="preserve">شماره</t>
  </si>
  <si>
    <t xml:space="preserve">تاریخ</t>
  </si>
  <si>
    <t xml:space="preserve">نوع سند</t>
  </si>
  <si>
    <t xml:space="preserve">شماره سند</t>
  </si>
  <si>
    <t xml:space="preserve">موضوع / طرف مقابل</t>
  </si>
  <si>
    <t xml:space="preserve">مبلغ ( ؋ )</t>
  </si>
  <si>
    <t xml:space="preserve">ترتیب کننده</t>
  </si>
  <si>
    <t xml:space="preserve">وضعیت</t>
  </si>
  <si>
    <t xml:space="preserve">مجموع مبالغ ثبت شده</t>
  </si>
  <si>
    <t xml:space="preserve">خلاصهٔ اسناد بر اساس نوع</t>
  </si>
  <si>
    <t xml:space="preserve">تعداد</t>
  </si>
  <si>
    <t xml:space="preserve">مجموع مبلغ ( ؋ )</t>
  </si>
  <si>
    <t xml:space="preserve">فیصدی مبلغ</t>
  </si>
  <si>
    <t xml:space="preserve">جدول معاشات</t>
  </si>
  <si>
    <t xml:space="preserve">سایر</t>
  </si>
  <si>
    <t xml:space="preserve">مجموع</t>
  </si>
  <si>
    <t xml:space="preserve">۵.  هر سند صادره باید بلافاصله در این دفتر ثبت و شمارهٔ آن در فورم مربوطه درج گردد.</t>
  </si>
  <si>
    <t xml:space="preserve">مرکز / ولایت</t>
  </si>
  <si>
    <t xml:space="preserve">۱)  مشخصات سند</t>
  </si>
  <si>
    <t xml:space="preserve">تاریخ دریافت بودجه</t>
  </si>
  <si>
    <t xml:space="preserve">تهیه کننده</t>
  </si>
  <si>
    <t xml:space="preserve">ماه / برج</t>
  </si>
  <si>
    <t xml:space="preserve">سال</t>
  </si>
  <si>
    <t xml:space="preserve">تعداد ماه شهریه</t>
  </si>
  <si>
    <t xml:space="preserve">تاریخ پرداخت  از</t>
  </si>
  <si>
    <t xml:space="preserve">الی</t>
  </si>
  <si>
    <t xml:space="preserve">عنوان پرداختی شهریه</t>
  </si>
  <si>
    <t xml:space="preserve">۲)  خلاصهٔ مالی سند   ( مجموع شهریه + حقوق و مصارف )</t>
  </si>
  <si>
    <t xml:space="preserve">شــرح</t>
  </si>
  <si>
    <t xml:space="preserve">مبلغ دالری  ( $ )</t>
  </si>
  <si>
    <t xml:space="preserve">نرخ دالر</t>
  </si>
  <si>
    <t xml:space="preserve">مبلغ افغانی  ( ؋ )</t>
  </si>
  <si>
    <t xml:space="preserve">ملاحظات</t>
  </si>
  <si>
    <t xml:space="preserve">مبلغ دریافتی</t>
  </si>
  <si>
    <t xml:space="preserve">دریافتی مجموع دو بخش</t>
  </si>
  <si>
    <t xml:space="preserve">باقی مانده از قبل</t>
  </si>
  <si>
    <t xml:space="preserve">—</t>
  </si>
  <si>
    <t xml:space="preserve">انتقالی از دورهٔ قبل</t>
  </si>
  <si>
    <t xml:space="preserve">طلب از قبل</t>
  </si>
  <si>
    <t xml:space="preserve">کسر انتقالی از دورهٔ قبل</t>
  </si>
  <si>
    <t xml:space="preserve">جمع کل موجودی</t>
  </si>
  <si>
    <t xml:space="preserve">دریافتی + باقی مانده − طلب</t>
  </si>
  <si>
    <t xml:space="preserve">مجموع پرداختی و مصارف</t>
  </si>
  <si>
    <t xml:space="preserve">از جدول کلی هزینه ها</t>
  </si>
  <si>
    <t xml:space="preserve">طلب برج فعلی</t>
  </si>
  <si>
    <t xml:space="preserve">کسری قابل انتقال به دورهٔ بعد</t>
  </si>
  <si>
    <t xml:space="preserve">باقی مانده برج فعلی</t>
  </si>
  <si>
    <t xml:space="preserve">مانده قابل انتقال به دورهٔ بعد</t>
  </si>
  <si>
    <t xml:space="preserve">۳)  تفکیک ماهانهٔ شهریه</t>
  </si>
  <si>
    <t xml:space="preserve">ماه</t>
  </si>
  <si>
    <t xml:space="preserve">مبلغ دریافتی ( ؋ )</t>
  </si>
  <si>
    <t xml:space="preserve">مبلغ پرداختی ( ؋ )</t>
  </si>
  <si>
    <t xml:space="preserve">تفاوت</t>
  </si>
  <si>
    <t xml:space="preserve">جمع</t>
  </si>
  <si>
    <t xml:space="preserve">۴)  جدول کلی هزینه ها</t>
  </si>
  <si>
    <t xml:space="preserve">عنوان</t>
  </si>
  <si>
    <t xml:space="preserve">ولایت / ولسوالی</t>
  </si>
  <si>
    <t xml:space="preserve">فیصدی</t>
  </si>
  <si>
    <t xml:space="preserve">توضیحات</t>
  </si>
  <si>
    <t xml:space="preserve">شهریه</t>
  </si>
  <si>
    <t xml:space="preserve">حقوق پرسنل</t>
  </si>
  <si>
    <t xml:space="preserve">ترانسپورت</t>
  </si>
  <si>
    <t xml:space="preserve">لوازم و تجهیزات</t>
  </si>
  <si>
    <t xml:space="preserve">هزینه های جاری</t>
  </si>
  <si>
    <t xml:space="preserve">کرایه ساختمان</t>
  </si>
  <si>
    <t xml:space="preserve">هزینه های متفرقه</t>
  </si>
  <si>
    <t xml:space="preserve">جمع کل</t>
  </si>
  <si>
    <t xml:space="preserve">۵)  کنترول توازن   ( پیش از ارسال باید همه «مطابقت دارد» باشد )</t>
  </si>
  <si>
    <t xml:space="preserve">توازن موجودی و پرداختی</t>
  </si>
  <si>
    <t xml:space="preserve">جمع کل موجودی − پرداختی − باقی مانده + طلب  باید صفر باشد</t>
  </si>
  <si>
    <t xml:space="preserve">شهریه با جدول ماهانه</t>
  </si>
  <si>
    <t xml:space="preserve">مبلغ شهریه در جدول هزینه ها = مجموع پرداختی جدول ماهانه</t>
  </si>
  <si>
    <t xml:space="preserve">حقوق پرسنل با شیت حقوق</t>
  </si>
  <si>
    <t xml:space="preserve">سطر حقوق پرسنل = مجموع کل جدول معاشات</t>
  </si>
  <si>
    <t xml:space="preserve">پرداختی با شیت تفکیک</t>
  </si>
  <si>
    <t xml:space="preserve">مجموع پرداختی = مجموع دو بخش در شیت تفکیک</t>
  </si>
  <si>
    <t xml:space="preserve">دریافتی ماهانه با سند</t>
  </si>
  <si>
    <t xml:space="preserve">مجموع دریافتی ماهانه = مبلغ دریافتی بخش شهریه</t>
  </si>
  <si>
    <t xml:space="preserve">امضاء کاربر ( تهیه کننده )</t>
  </si>
  <si>
    <t xml:space="preserve">امضاء مسؤل ایتام</t>
  </si>
  <si>
    <t xml:space="preserve">امضاء و مهر مسؤل مرکز</t>
  </si>
  <si>
    <t xml:space="preserve">۶.  مبلغ «حقوق پرسنل» و «شهریه» خودکار از شیت های حقوق و جدول ماهانه خوانده می‌شود.</t>
  </si>
  <si>
    <t xml:space="preserve">مشخصات سند   ( خودکار )</t>
  </si>
  <si>
    <t xml:space="preserve">الف)  حسابات بخش شهریه</t>
  </si>
  <si>
    <t xml:space="preserve">مبلغ دریافتی شهریهٔ ایتام</t>
  </si>
  <si>
    <t xml:space="preserve">مجموع پرداختی شهریهٔ ایتام</t>
  </si>
  <si>
    <t xml:space="preserve">ب)  حسابات بخش حقوق و هزینه ها</t>
  </si>
  <si>
    <t xml:space="preserve">مبلغ دریافتی حقوق و هزینه ها</t>
  </si>
  <si>
    <t xml:space="preserve">مجموع پرداختی حقوق و هزینه ها</t>
  </si>
  <si>
    <t xml:space="preserve">ج)  مجموع شهریهٔ ایتام و هزینه ها</t>
  </si>
  <si>
    <t xml:space="preserve">نرخ اوسط وزنی</t>
  </si>
  <si>
    <t xml:space="preserve">خالص باقی مانده دو بخش</t>
  </si>
  <si>
    <t xml:space="preserve">خالص طلب دو بخش</t>
  </si>
  <si>
    <t xml:space="preserve">کنترول توازن</t>
  </si>
  <si>
    <t xml:space="preserve">توازن بخش شهریه</t>
  </si>
  <si>
    <t xml:space="preserve">موجودی − پرداختی − باقی مانده + طلب  =  صفر</t>
  </si>
  <si>
    <t xml:space="preserve">توازن بخش حقوق و هزینه ها</t>
  </si>
  <si>
    <t xml:space="preserve">توازن مجموع</t>
  </si>
  <si>
    <t xml:space="preserve">مطابقت با صورت حساب کلی</t>
  </si>
  <si>
    <t xml:space="preserve">۶.  ارقام دریافتی هر بخش در همین شیت وارد می‌شود؛ ارقام پرداختی از «صورت حساب کلی» خوانده می‌شود.</t>
  </si>
  <si>
    <t xml:space="preserve">نام و تخلص</t>
  </si>
  <si>
    <t xml:space="preserve">وظیفه اجرایی</t>
  </si>
  <si>
    <t xml:space="preserve">نوع پرداخت</t>
  </si>
  <si>
    <t xml:space="preserve">شرح / ملاحظات</t>
  </si>
  <si>
    <t xml:space="preserve">وضعیت پرداخت</t>
  </si>
  <si>
    <t xml:space="preserve">محل امضاء</t>
  </si>
  <si>
    <t xml:space="preserve">مجموع کل</t>
  </si>
  <si>
    <t xml:space="preserve">خلاصهٔ پرداخت ها بر اساس نوع   ( جهت گزارش گیری )</t>
  </si>
  <si>
    <t xml:space="preserve">معاش</t>
  </si>
  <si>
    <t xml:space="preserve">حق الزحمه</t>
  </si>
  <si>
    <t xml:space="preserve">حق الماموریت</t>
  </si>
  <si>
    <t xml:space="preserve">اضافه کاری</t>
  </si>
  <si>
    <t xml:space="preserve">امضاء ترتیب کننده</t>
  </si>
  <si>
    <t xml:space="preserve">۶.  مجموع کل این جدول خودکار به سطر «حقوق پرسنل» در شیت «صورت حساب کلی» منتقل می‌شود.</t>
  </si>
  <si>
    <t xml:space="preserve">۷.  جدول خلاصه بر اساس ستون «نوع پرداخت» محاسبه می‌گردد؛ حتماً از لیست کشویی انتخاب شود.</t>
  </si>
  <si>
    <t xml:space="preserve">۱)  مشخصات پرداخت</t>
  </si>
  <si>
    <t xml:space="preserve">کود حساب / سرفصل بودجه</t>
  </si>
  <si>
    <t xml:space="preserve">شماره حواله</t>
  </si>
  <si>
    <t xml:space="preserve">بابت ( موضوع پرداخت )</t>
  </si>
  <si>
    <t xml:space="preserve">ارز</t>
  </si>
  <si>
    <t xml:space="preserve">۲)  تفصیل اقلام</t>
  </si>
  <si>
    <t xml:space="preserve">شرح هزینه</t>
  </si>
  <si>
    <t xml:space="preserve">مقدار / تعداد</t>
  </si>
  <si>
    <t xml:space="preserve">قیمت فی واحد</t>
  </si>
  <si>
    <t xml:space="preserve">مبلغ به حروف</t>
  </si>
  <si>
    <t xml:space="preserve">۳)  دریافت کننده</t>
  </si>
  <si>
    <t xml:space="preserve">شماره تذکره</t>
  </si>
  <si>
    <t xml:space="preserve">شماره تماس</t>
  </si>
  <si>
    <t xml:space="preserve">۴)  تأییدات</t>
  </si>
  <si>
    <t xml:space="preserve">تأیید کننده ( مسؤل مرکز )</t>
  </si>
  <si>
    <t xml:space="preserve">پرداخت کننده ( صندوق )</t>
  </si>
  <si>
    <t xml:space="preserve">دریافت کننده  ( امضاء / شصت )</t>
  </si>
  <si>
    <t xml:space="preserve">ضمایم ( تعداد ورق )</t>
  </si>
  <si>
    <t xml:space="preserve">رسید، بل خریداری، قرارداد و سایر اسناد پشتوانه در ادامهٔ این سند ضمیمه گردد.</t>
  </si>
  <si>
    <t xml:space="preserve">۵.  ستون «مجموع» خودکار از مقدار × قیمت فی واحد محاسبه می‌شود.</t>
  </si>
  <si>
    <t xml:space="preserve">۶.  «مبلغ به حروف» به‌صورت خودکار از جمع کل تولید می‌گردد.</t>
  </si>
  <si>
    <t xml:space="preserve">۱)  مشخصات کارمند</t>
  </si>
  <si>
    <t xml:space="preserve">شماره کارمند</t>
  </si>
  <si>
    <t xml:space="preserve">تاریخ استخدام</t>
  </si>
  <si>
    <t xml:space="preserve">سمت / وظیفه</t>
  </si>
  <si>
    <t xml:space="preserve">بخش</t>
  </si>
  <si>
    <t xml:space="preserve">۲)  نوع و مدت رخصتی</t>
  </si>
  <si>
    <t xml:space="preserve">نوع رخصتی</t>
  </si>
  <si>
    <t xml:space="preserve">از تاریخ</t>
  </si>
  <si>
    <t xml:space="preserve">الی تاریخ</t>
  </si>
  <si>
    <t xml:space="preserve">جمعاً ( روز )</t>
  </si>
  <si>
    <t xml:space="preserve">تاریخ برگشت به وظیفه</t>
  </si>
  <si>
    <t xml:space="preserve">در صورت «سایر» توضیح دهید</t>
  </si>
  <si>
    <t xml:space="preserve">دلیل رخصتی</t>
  </si>
  <si>
    <t xml:space="preserve">آدرس و شماره تماس در مدت رخصتی</t>
  </si>
  <si>
    <t xml:space="preserve">جانشین در زمان غیابت</t>
  </si>
  <si>
    <t xml:space="preserve">امور تحویل داده شده</t>
  </si>
  <si>
    <t xml:space="preserve">۳)  رصید رخصتی  ( توسط بخش اداری تکمیل می‌گردد )</t>
  </si>
  <si>
    <t xml:space="preserve">شرح</t>
  </si>
  <si>
    <t xml:space="preserve">تعداد روز</t>
  </si>
  <si>
    <t xml:space="preserve">رخصتی مستحقهٔ سالانه</t>
  </si>
  <si>
    <t xml:space="preserve">مطابق پالیسی مؤسسه</t>
  </si>
  <si>
    <t xml:space="preserve">استفاده شده تا اکنون</t>
  </si>
  <si>
    <t xml:space="preserve">مجموع روزهای رخصتی استفاده شده در سال جاری</t>
  </si>
  <si>
    <t xml:space="preserve">باقی مانده قبل از این درخواست</t>
  </si>
  <si>
    <t xml:space="preserve">مستحقه − استفاده شده</t>
  </si>
  <si>
    <t xml:space="preserve">روزهای این درخواست</t>
  </si>
  <si>
    <t xml:space="preserve">از بخش (2) خوانده می شود</t>
  </si>
  <si>
    <t xml:space="preserve">مانده پس از این رخصتی</t>
  </si>
  <si>
    <t xml:space="preserve">تعهد:  متعهد می‌گردم بعد از ختم رخصتی، در تاریخ تعیین‌شده به‌موقع به وظیفه حاضر شوم و امور محوله را طبق تسلیمی به جانشین تعیین‌شده تحویل نمایم.</t>
  </si>
  <si>
    <t xml:space="preserve">امضاء کارمند درخواست کننده</t>
  </si>
  <si>
    <t xml:space="preserve">تأیید مسؤل مستقیم</t>
  </si>
  <si>
    <t xml:space="preserve">تأیید بخش اداری / منابع بشری</t>
  </si>
  <si>
    <t xml:space="preserve">منظوری مدیریت</t>
  </si>
  <si>
    <t xml:space="preserve">نتیجهٔ درخواست</t>
  </si>
  <si>
    <t xml:space="preserve">تاریخ منظوری</t>
  </si>
  <si>
    <t xml:space="preserve">۵.  جدول رصید رخصتی خودکار محاسبه می‌شود؛ تنها دو خانهٔ اول تکمیل گردد.</t>
  </si>
  <si>
    <t xml:space="preserve">۶.  یک نسخه از این فورم در دوسیهٔ شخصی کارمند و یک نسخه در دفتر حاضری نگهداری شود.</t>
  </si>
  <si>
    <t xml:space="preserve">۱)  مشخصات ماموریت</t>
  </si>
  <si>
    <t xml:space="preserve">نام و تخلص کارمند</t>
  </si>
  <si>
    <t xml:space="preserve">وظیفه</t>
  </si>
  <si>
    <t xml:space="preserve">ولایت / ولسوالی محل ماموریت</t>
  </si>
  <si>
    <t xml:space="preserve">وسیلهٔ سفر</t>
  </si>
  <si>
    <t xml:space="preserve">شماره تماس در سفر</t>
  </si>
  <si>
    <t xml:space="preserve">هدف ماموریت</t>
  </si>
  <si>
    <t xml:space="preserve">۲)  شروع ماموریت</t>
  </si>
  <si>
    <t xml:space="preserve">اینجانب تصدیق می‌نمایم که به‌منظور انجام ماموریت فوق، از تاریخ ذیل به محل تعیین‌شده اعزام گردیدم.</t>
  </si>
  <si>
    <t xml:space="preserve">تاریخ شروع ماموریت</t>
  </si>
  <si>
    <t xml:space="preserve">ساعت حرکت</t>
  </si>
  <si>
    <t xml:space="preserve">امضاء کارمند</t>
  </si>
  <si>
    <t xml:space="preserve">۳)  ختم ماموریت و برگشت</t>
  </si>
  <si>
    <t xml:space="preserve">اینجانب تصدیق می‌نمایم که ماموریت محوله را به پایان رسانیده و به ادارهٔ مربوطه مراجعه نموده‌ام.</t>
  </si>
  <si>
    <t xml:space="preserve">تاریخ ختم ماموریت</t>
  </si>
  <si>
    <t xml:space="preserve">ساعت برگشت</t>
  </si>
  <si>
    <t xml:space="preserve">گزارش مختصر نتیجهٔ ماموریت</t>
  </si>
  <si>
    <t xml:space="preserve">۴)  تصفیهٔ حق‌الماموریت</t>
  </si>
  <si>
    <t xml:space="preserve">مقدار / مبلغ</t>
  </si>
  <si>
    <t xml:space="preserve">تعداد روز ماموریت</t>
  </si>
  <si>
    <t xml:space="preserve">مجموع روزهای حاضر در محل ماموریت</t>
  </si>
  <si>
    <t xml:space="preserve">حق‌الماموریت روزانه ( ؋ )</t>
  </si>
  <si>
    <t xml:space="preserve">مجموع حق‌الماموریت ( ؋ )</t>
  </si>
  <si>
    <t xml:space="preserve">تعداد روز × حق‌الماموریت روزانه</t>
  </si>
  <si>
    <t xml:space="preserve">سایر مصارف قابل پرداخت ( ؋ )</t>
  </si>
  <si>
    <t xml:space="preserve">کرایه، ترانسپورت و مصارف مستند</t>
  </si>
  <si>
    <t xml:space="preserve">پیش‌پرداخت دریافت شده ( ؋ )</t>
  </si>
  <si>
    <t xml:space="preserve">مبلغ دریافت شده قبل از سفر</t>
  </si>
  <si>
    <t xml:space="preserve">قابل پرداخت / قابل استرداد ( ؋ )</t>
  </si>
  <si>
    <t xml:space="preserve">رقم مثبت: قابل پرداخت به کارمند   |   رقم منفی: قابل استرداد از کارمند</t>
  </si>
  <si>
    <t xml:space="preserve">۵)  تأییدات</t>
  </si>
  <si>
    <t xml:space="preserve">تأیید بخش اداری دفتر</t>
  </si>
  <si>
    <t xml:space="preserve">تأیید حسابداری</t>
  </si>
  <si>
    <t xml:space="preserve">۵.  مجموع حق‌الماموریت خودکار محاسبه شده و باید با سطر مربوطه در جدول حقوق مطابقت داشته باشد.</t>
  </si>
  <si>
    <t xml:space="preserve">۶.  رسیدهای مصارف در ادامهٔ این فورم ضمیمه گردد.</t>
  </si>
  <si>
    <t xml:space="preserve">۱)  مشخصات وکیل‌دهنده  ( سرپرست اصلی )</t>
  </si>
  <si>
    <t xml:space="preserve">ولد ( نام پدر )</t>
  </si>
  <si>
    <t xml:space="preserve">کد اختصاصی / عمومی</t>
  </si>
  <si>
    <t xml:space="preserve">آدرس سکونت</t>
  </si>
  <si>
    <t xml:space="preserve">دلیل عدم حضور</t>
  </si>
  <si>
    <t xml:space="preserve">۲)  مشخصات وکیل موقت</t>
  </si>
  <si>
    <t xml:space="preserve">نسبت با وکیل‌دهنده</t>
  </si>
  <si>
    <t xml:space="preserve">۳)  ایتام تحت پوشش این وکالت</t>
  </si>
  <si>
    <t xml:space="preserve">نام و تخلص یتیم</t>
  </si>
  <si>
    <t xml:space="preserve">ولد</t>
  </si>
  <si>
    <t xml:space="preserve">کد یتیم</t>
  </si>
  <si>
    <t xml:space="preserve">سن</t>
  </si>
  <si>
    <t xml:space="preserve">تعداد ایتام تحت این وکالت</t>
  </si>
  <si>
    <t xml:space="preserve">۴)  متن وکالت</t>
  </si>
  <si>
    <t xml:space="preserve">کلیهٔ مسؤولیت‌ها و تعهدات در مدت اعتبار این وکالت به عهدهٔ اینجانب ( وکیل‌دهنده ) می‌باشد. این وکالت پس از تاریخ مندرج فاقد اعتبار بوده و تمدید آن مستلزم تنظیم ورقهٔ جدید است.</t>
  </si>
  <si>
    <t xml:space="preserve">تاریخ تنظیم</t>
  </si>
  <si>
    <t xml:space="preserve">تاریخ انقضا</t>
  </si>
  <si>
    <t xml:space="preserve">۵)  امضاها</t>
  </si>
  <si>
    <t xml:space="preserve">امضاء / شصت  وکیل‌دهنده</t>
  </si>
  <si>
    <t xml:space="preserve">امضاء / شصت  وکیل موقت</t>
  </si>
  <si>
    <t xml:space="preserve">شاهد اول  ( نام و امضاء )</t>
  </si>
  <si>
    <t xml:space="preserve">شاهد دوم  ( نام و امضاء )</t>
  </si>
  <si>
    <t xml:space="preserve">تأیید و امضاء کارمند مربوطهٔ دفتر ایتام</t>
  </si>
  <si>
    <t xml:space="preserve">تأیید و مهر مسؤل مرکز</t>
  </si>
  <si>
    <t xml:space="preserve">۵.  حضور و امضای دو شاهد الزامی است.</t>
  </si>
  <si>
    <t xml:space="preserve">۶.  کاپی تذکرهٔ وکیل‌دهنده و وکیل موقت در ادامهٔ این ورقه ضمیمه گردد.</t>
  </si>
  <si>
    <t xml:space="preserve">۱)  طرفین قرارداد</t>
  </si>
  <si>
    <t xml:space="preserve">طرف اول  ( کارفرما )</t>
  </si>
  <si>
    <t xml:space="preserve">نمایندهٔ کارفرما</t>
  </si>
  <si>
    <t xml:space="preserve">طرف دوم  ( راننده )</t>
  </si>
  <si>
    <t xml:space="preserve">شماره تماس راننده</t>
  </si>
  <si>
    <t xml:space="preserve">۲)  مشخصات وسیله و ساحهٔ خدمات</t>
  </si>
  <si>
    <t xml:space="preserve">مودل موتر</t>
  </si>
  <si>
    <t xml:space="preserve">شماره پلیت</t>
  </si>
  <si>
    <t xml:space="preserve">رنگ</t>
  </si>
  <si>
    <t xml:space="preserve">ساحهٔ فعالیت / مناطق</t>
  </si>
  <si>
    <t xml:space="preserve">نوع قرارداد</t>
  </si>
  <si>
    <t xml:space="preserve">۳)  شرایط مالی</t>
  </si>
  <si>
    <t xml:space="preserve">مبلغ / مقدار</t>
  </si>
  <si>
    <t xml:space="preserve">دستمزد روزانه ( ؋ )</t>
  </si>
  <si>
    <t xml:space="preserve">مطابق توافق طرفین</t>
  </si>
  <si>
    <t xml:space="preserve">تعداد روز کاری در ماه</t>
  </si>
  <si>
    <t xml:space="preserve">روزهای فعالیت مورد انتظار</t>
  </si>
  <si>
    <t xml:space="preserve">مجموع ماهوار ( ؋ )</t>
  </si>
  <si>
    <t xml:space="preserve">دستمزد روزانه × تعداد روز کاری</t>
  </si>
  <si>
    <t xml:space="preserve">نرخ خدمات اضافی ( ؋ )</t>
  </si>
  <si>
    <t xml:space="preserve">خارج از ساعات یا مسیرهای اضافی – طبق توافق جداگانه</t>
  </si>
  <si>
    <t xml:space="preserve">طرز پرداخت</t>
  </si>
  <si>
    <t xml:space="preserve">نقدی / حواله – ماهوار یا مطابق توافق</t>
  </si>
  <si>
    <t xml:space="preserve">ساعات خدمات روزانه</t>
  </si>
  <si>
    <t xml:space="preserve">از طلوع آفتاب الی اذان شام</t>
  </si>
  <si>
    <t xml:space="preserve">۴)  مسؤولیت‌ها و شرایط</t>
  </si>
  <si>
    <t xml:space="preserve">۱.  حفظ سلامت موتر و تجهیزات آن و ارائهٔ آن در حالت آمادهٔ کار.</t>
  </si>
  <si>
    <t xml:space="preserve">۲.  رعایت کامل قوانین راه، مقررات ترافیکی و اصول ایمنی.</t>
  </si>
  <si>
    <t xml:space="preserve">۳.  مسؤولیت خسارات وارده ناشی از بی‌احتیاطی یا تخلف راننده، بر عهدهٔ راننده می‌باشد.</t>
  </si>
  <si>
    <t xml:space="preserve">۴.  خدمات خارج از ساعات روزانه یا مسیرهای اضافی، طبق توافق جداگانه و با مبلغ مشخص انجام می‌شود.</t>
  </si>
  <si>
    <t xml:space="preserve">۵.  راننده مکلف است حضور و مسیر روزانهٔ خود را در فورم مربوطه ثبت و به تأیید مسؤل دفتر برساند.</t>
  </si>
  <si>
    <t xml:space="preserve">۶.  در صورت عدم رعایت شرایط این قرارداد، هر یک از طرفین حق فسخ آن را با اطلاع قبلی ( ۷ روز ) دارند.</t>
  </si>
  <si>
    <t xml:space="preserve">۷.  هرگونه اختلاف ناشی از این قرارداد، ابتدا از طریق مفاهمه و در صورت عدم توافق، از مجاری قانونی حل می‌گردد.</t>
  </si>
  <si>
    <t xml:space="preserve">۸.  این قرارداد در دو نسخهٔ واحد الاعتبار ترتیب و به هر یک از طرفین یک نسخه تسلیم گردید.</t>
  </si>
  <si>
    <t xml:space="preserve">امضاء / شصت  راننده  ( طرف دوم )</t>
  </si>
  <si>
    <t xml:space="preserve">شاهد  ( نام و امضاء )</t>
  </si>
  <si>
    <t xml:space="preserve">امضاء و مهر  نمایندهٔ مؤسسه  ( طرف اول )</t>
  </si>
  <si>
    <t xml:space="preserve">۵.  کاپی تذکره، جواز سیر و لایسنس راننده در ادامهٔ این قرارداد ضمیمه گردد.</t>
  </si>
  <si>
    <t xml:space="preserve">۱)  مرجع مقصد</t>
  </si>
  <si>
    <t xml:space="preserve">به دفتر محترم ایتام ولایت</t>
  </si>
  <si>
    <t xml:space="preserve">عنوانی</t>
  </si>
  <si>
    <t xml:space="preserve">۲)  مشخصات خانوادهٔ تحت پوشش</t>
  </si>
  <si>
    <t xml:space="preserve">نام و تخلص سرپرست</t>
  </si>
  <si>
    <t xml:space="preserve">کد عمومی</t>
  </si>
  <si>
    <t xml:space="preserve">تعداد ایتام تحت سرپرستی</t>
  </si>
  <si>
    <t xml:space="preserve">ولایت مبدأ</t>
  </si>
  <si>
    <t xml:space="preserve">ولایت مقصد</t>
  </si>
  <si>
    <t xml:space="preserve">آخرین برج دریافت شهریه</t>
  </si>
  <si>
    <t xml:space="preserve">تعداد ورق ضمیمه</t>
  </si>
  <si>
    <t xml:space="preserve">دلیل انتقال</t>
  </si>
  <si>
    <t xml:space="preserve">۳)  متن نامه   ( خودکار از معلومات فوق ساخته می‌شود )</t>
  </si>
  <si>
    <t xml:space="preserve">بسم الله الرحمن الرحیم</t>
  </si>
  <si>
    <t xml:space="preserve">السلام علیکم و رحمة الله و برکاته</t>
  </si>
  <si>
    <t xml:space="preserve">با احترام</t>
  </si>
  <si>
    <t xml:space="preserve">۴)  ضمایم</t>
  </si>
  <si>
    <t xml:space="preserve">شرح ضمیمه</t>
  </si>
  <si>
    <t xml:space="preserve">تعداد ورق</t>
  </si>
  <si>
    <t xml:space="preserve">مجموع اوراق ضمیمه</t>
  </si>
  <si>
    <t xml:space="preserve">امضاء و مهر  مسؤل مرکز مبدأ</t>
  </si>
  <si>
    <t xml:space="preserve">امضاء و مهر  مرجع مقصد  ( رسید )</t>
  </si>
  <si>
    <t xml:space="preserve">تاریخ ثبت در مرجع مقصد</t>
  </si>
  <si>
    <t xml:space="preserve">شماره ثبت</t>
  </si>
  <si>
    <t xml:space="preserve">۵.  متن نامه به‌صورت خودکار از بخش ۲ ساخته می‌شود؛ در متن چیزی تایپ نگردد.</t>
  </si>
  <si>
    <t xml:space="preserve">۶.  بخش «رسید مرجع مقصد» توسط دفتر مقصد تکمیل و یک نسخه به مرکز مبدأ اعاده گردد.</t>
  </si>
  <si>
    <t xml:space="preserve">صفر</t>
  </si>
  <si>
    <t xml:space="preserve">یکصد</t>
  </si>
  <si>
    <t xml:space="preserve">یک</t>
  </si>
  <si>
    <t xml:space="preserve">بیست</t>
  </si>
  <si>
    <t xml:space="preserve">دوصد</t>
  </si>
  <si>
    <t xml:space="preserve">دو</t>
  </si>
  <si>
    <t xml:space="preserve">سی</t>
  </si>
  <si>
    <t xml:space="preserve">سه صد</t>
  </si>
  <si>
    <t xml:space="preserve">سه</t>
  </si>
  <si>
    <t xml:space="preserve">چهل</t>
  </si>
  <si>
    <t xml:space="preserve">چهارصد</t>
  </si>
  <si>
    <t xml:space="preserve">چهار</t>
  </si>
  <si>
    <t xml:space="preserve">پنجاه</t>
  </si>
  <si>
    <t xml:space="preserve">پنجصد</t>
  </si>
  <si>
    <t xml:space="preserve">پنج</t>
  </si>
  <si>
    <t xml:space="preserve">شصت</t>
  </si>
  <si>
    <t xml:space="preserve">ششصد</t>
  </si>
  <si>
    <t xml:space="preserve">شش</t>
  </si>
  <si>
    <t xml:space="preserve">هفتاد</t>
  </si>
  <si>
    <t xml:space="preserve">هفتصد</t>
  </si>
  <si>
    <t xml:space="preserve">هفت</t>
  </si>
  <si>
    <t xml:space="preserve">هشتاد</t>
  </si>
  <si>
    <t xml:space="preserve">هشتصد</t>
  </si>
  <si>
    <t xml:space="preserve">هشت</t>
  </si>
  <si>
    <t xml:space="preserve">نود</t>
  </si>
  <si>
    <t xml:space="preserve">نهصد</t>
  </si>
  <si>
    <t xml:space="preserve">نه</t>
  </si>
  <si>
    <t xml:space="preserve">ده</t>
  </si>
  <si>
    <t xml:space="preserve">یازده</t>
  </si>
  <si>
    <t xml:space="preserve">دوازده</t>
  </si>
  <si>
    <t xml:space="preserve">سیزده</t>
  </si>
  <si>
    <t xml:space="preserve">چهارده</t>
  </si>
  <si>
    <t xml:space="preserve">پانزده</t>
  </si>
  <si>
    <t xml:space="preserve">شانزده</t>
  </si>
  <si>
    <t xml:space="preserve">هفده</t>
  </si>
  <si>
    <t xml:space="preserve">هجده</t>
  </si>
  <si>
    <t xml:space="preserve">نزده</t>
  </si>
  <si>
    <t xml:space="preserve">مبلغ</t>
  </si>
  <si>
    <t xml:space="preserve">جدول تبدیل عدد به حروف – این شیت را حذف یا تغییر ندهید.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</si>
</sst>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;\(#,##0\);\-"/>
    <numFmt numFmtId="167" formatCode="0.0%;;\-"/>
    <numFmt numFmtId="168" formatCode="0;\(0\);\-"/>
    <numFmt numFmtId="169" formatCode="#,##0.00;\(#,##0.00\);\-"/>
    <numFmt numFmtId="170" formatCode="General"/>
    <numFmt numFmtId="171" formatCode="0.0%;\(0.0%\);\-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7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sz val="10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8"/>
      <color rgb="FF1F1F1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9"/>
      <color rgb="FF7F6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1F1F1F"/>
      <name val="Arial"/>
      <family val="0"/>
      <charset val="1"/>
    </font>
    <font>
      <sz val="11"/>
      <color rgb="FF1F1F1F"/>
      <name val="Arial"/>
      <family val="0"/>
      <charset val="1"/>
    </font>
    <font>
      <sz val="9"/>
      <color rgb="FF1F1F1F"/>
      <name val="Arial"/>
      <family val="0"/>
      <charset val="1"/>
    </font>
    <font>
      <sz val="11"/>
      <color theme="1"/>
      <name val="FreeSans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7F9FC"/>
      </patternFill>
    </fill>
    <fill>
      <patternFill patternType="solid">
        <fgColor rgb="FF1F3864"/>
        <bgColor rgb="FF404040"/>
      </patternFill>
    </fill>
    <fill>
      <patternFill patternType="solid">
        <fgColor rgb="FF2F5597"/>
        <bgColor rgb="FF1F6F8B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7F9FC"/>
        <bgColor rgb="FFFFFFFF"/>
      </patternFill>
    </fill>
    <fill>
      <patternFill patternType="solid">
        <fgColor rgb="FFF2F2F2"/>
        <bgColor rgb="FFF7F9FC"/>
      </patternFill>
    </fill>
    <fill>
      <patternFill patternType="solid">
        <fgColor rgb="FFFFE699"/>
        <bgColor rgb="FFFFF2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/>
      <diagonal/>
    </border>
    <border diagonalUp="false" diagonalDown="false">
      <left style="medium">
        <color rgb="FF1F3864"/>
      </left>
      <right style="medium">
        <color rgb="FF1F3864"/>
      </right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thin">
        <color rgb="FF8EA9DB"/>
      </top>
      <bottom style="medium">
        <color rgb="FF1F3864"/>
      </bottom>
      <diagonal/>
    </border>
    <border diagonalUp="false" diagonalDown="false"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7" fillId="4" borderId="4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5" borderId="4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9" fillId="6" borderId="4" xfId="0" applyFont="true" applyBorder="true" applyAlignment="true" applyProtection="true">
      <alignment horizontal="right" vertical="center" textRotation="0" wrapText="false" indent="0" shrinkToFit="false" readingOrder="2"/>
      <protection locked="false" hidden="false"/>
    </xf>
    <xf numFmtId="164" fontId="10" fillId="2" borderId="4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6" borderId="4" xfId="0" applyFont="true" applyBorder="true" applyAlignment="true" applyProtection="true">
      <alignment horizontal="right" vertical="center" textRotation="0" wrapText="true" indent="0" shrinkToFit="false" readingOrder="2"/>
      <protection locked="false" hidden="false"/>
    </xf>
    <xf numFmtId="164" fontId="9" fillId="6" borderId="4" xfId="0" applyFont="true" applyBorder="true" applyAlignment="true" applyProtection="true">
      <alignment horizontal="center" vertical="center" textRotation="0" wrapText="false" indent="0" shrinkToFit="false" readingOrder="2"/>
      <protection locked="false" hidden="false"/>
    </xf>
    <xf numFmtId="165" fontId="9" fillId="6" borderId="4" xfId="0" applyFont="true" applyBorder="true" applyAlignment="true" applyProtection="true">
      <alignment horizontal="center" vertical="center" textRotation="0" wrapText="false" indent="0" shrinkToFit="false" readingOrder="2"/>
      <protection locked="false" hidden="false"/>
    </xf>
    <xf numFmtId="164" fontId="11" fillId="3" borderId="4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2" fillId="2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3" fillId="2" borderId="4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5" fillId="2" borderId="4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6" fillId="2" borderId="4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2" fillId="7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3" fillId="7" borderId="4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4" fillId="7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5" fillId="7" borderId="4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6" fillId="7" borderId="4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2" fillId="8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7" fillId="8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9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8" fillId="5" borderId="4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9" fillId="2" borderId="4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1" fillId="3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 readingOrder="2"/>
      <protection locked="true" hidden="false"/>
    </xf>
    <xf numFmtId="165" fontId="12" fillId="2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9" fillId="6" borderId="4" xfId="0" applyFont="true" applyBorder="true" applyAlignment="true" applyProtection="true">
      <alignment horizontal="center" vertical="center" textRotation="0" wrapText="false" indent="0" shrinkToFit="false" readingOrder="2"/>
      <protection locked="false" hidden="false"/>
    </xf>
    <xf numFmtId="165" fontId="12" fillId="7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7" fillId="3" borderId="4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7" fillId="3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1" fillId="4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2" fillId="2" borderId="4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12" fillId="2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12" fillId="2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2" fillId="7" borderId="4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12" fillId="7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12" fillId="7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1" fillId="3" borderId="4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11" fillId="3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11" fillId="3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12" fillId="8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2" borderId="4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17" fillId="8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9" fontId="17" fillId="8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0" fillId="2" borderId="4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7" borderId="4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3" fillId="7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0" fillId="7" borderId="4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3" fillId="2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9" borderId="4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3" fillId="9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24" fillId="9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0" fillId="9" borderId="4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12" fillId="8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5" fillId="6" borderId="4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6" fontId="22" fillId="2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22" fillId="7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2" fillId="2" borderId="4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70" fontId="17" fillId="8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1" fontId="22" fillId="2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2" fillId="7" borderId="4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71" fontId="22" fillId="7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0" fillId="7" borderId="4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26" fillId="3" borderId="4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26" fillId="3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1" fontId="11" fillId="3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2" fillId="3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2" fillId="0" borderId="4" xfId="0" applyFont="true" applyBorder="true" applyAlignment="true" applyProtection="true">
      <alignment horizontal="center" vertical="center" textRotation="0" wrapText="false" indent="0" shrinkToFit="false" readingOrder="2"/>
      <protection locked="false" hidden="false"/>
    </xf>
    <xf numFmtId="169" fontId="9" fillId="6" borderId="4" xfId="0" applyFont="true" applyBorder="true" applyAlignment="true" applyProtection="true">
      <alignment horizontal="center" vertical="center" textRotation="0" wrapText="false" indent="0" shrinkToFit="false" readingOrder="2"/>
      <protection locked="false" hidden="false"/>
    </xf>
    <xf numFmtId="166" fontId="23" fillId="7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9" fontId="23" fillId="7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23" fillId="2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9" fontId="23" fillId="2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23" fillId="9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9" fontId="23" fillId="9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27" fillId="9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9" fontId="12" fillId="8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7" fillId="9" borderId="4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8" fillId="9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8" fillId="2" borderId="4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22" fillId="0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8" fillId="9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11" fillId="3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9" fillId="2" borderId="4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30" fillId="2" borderId="4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30" fillId="7" borderId="4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F6F8B"/>
      <rgbColor rgb="FFC0C0C0"/>
      <rgbColor rgb="FF808080"/>
      <rgbColor rgb="FF8EA9DB"/>
      <rgbColor rgb="FF7030A0"/>
      <rgbColor rgb="FFFFF2CC"/>
      <rgbColor rgb="FFF2F2F2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375623"/>
      <rgbColor rgb="FF0000FF"/>
      <rgbColor rgb="FF00CCFF"/>
      <rgbColor rgb="FFF7F9FC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548235"/>
      <rgbColor rgb="FF006100"/>
      <rgbColor rgb="FF1F1F1F"/>
      <rgbColor rgb="FF993300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H40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24"/>
    <col collapsed="false" customWidth="true" hidden="false" outlineLevel="0" max="6" min="5" style="1" width="22"/>
    <col collapsed="false" customWidth="true" hidden="false" outlineLevel="0" max="8" min="7" style="1" width="20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33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4" customFormat="false" ht="21.75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</row>
    <row r="5" customFormat="false" ht="19.5" hidden="false" customHeight="true" outlineLevel="0" collapsed="false">
      <c r="A5" s="6" t="s">
        <v>4</v>
      </c>
      <c r="B5" s="6"/>
      <c r="C5" s="7" t="s">
        <v>0</v>
      </c>
      <c r="D5" s="7"/>
      <c r="E5" s="8" t="s">
        <v>5</v>
      </c>
      <c r="F5" s="8"/>
      <c r="G5" s="8"/>
      <c r="H5" s="8"/>
    </row>
    <row r="6" customFormat="false" ht="30" hidden="false" customHeight="true" outlineLevel="0" collapsed="false">
      <c r="A6" s="6" t="s">
        <v>6</v>
      </c>
      <c r="B6" s="6"/>
      <c r="C6" s="9" t="s">
        <v>1</v>
      </c>
      <c r="D6" s="9"/>
      <c r="E6" s="8" t="s">
        <v>7</v>
      </c>
      <c r="F6" s="8"/>
      <c r="G6" s="8"/>
      <c r="H6" s="8"/>
    </row>
    <row r="7" customFormat="false" ht="19.5" hidden="false" customHeight="true" outlineLevel="0" collapsed="false">
      <c r="A7" s="6" t="s">
        <v>8</v>
      </c>
      <c r="B7" s="6"/>
      <c r="C7" s="10"/>
      <c r="D7" s="10"/>
      <c r="E7" s="8" t="s">
        <v>9</v>
      </c>
      <c r="F7" s="8"/>
      <c r="G7" s="8"/>
      <c r="H7" s="8"/>
    </row>
    <row r="8" customFormat="false" ht="19.5" hidden="false" customHeight="true" outlineLevel="0" collapsed="false">
      <c r="A8" s="6" t="s">
        <v>10</v>
      </c>
      <c r="B8" s="6"/>
      <c r="C8" s="10"/>
      <c r="D8" s="10"/>
      <c r="E8" s="8"/>
      <c r="F8" s="8"/>
      <c r="G8" s="8"/>
      <c r="H8" s="8"/>
    </row>
    <row r="9" customFormat="false" ht="19.5" hidden="false" customHeight="true" outlineLevel="0" collapsed="false">
      <c r="A9" s="6" t="s">
        <v>11</v>
      </c>
      <c r="B9" s="6"/>
      <c r="C9" s="10"/>
      <c r="D9" s="10"/>
      <c r="E9" s="8"/>
      <c r="F9" s="8"/>
      <c r="G9" s="8"/>
      <c r="H9" s="8"/>
    </row>
    <row r="10" customFormat="false" ht="19.5" hidden="false" customHeight="true" outlineLevel="0" collapsed="false">
      <c r="A10" s="6" t="s">
        <v>12</v>
      </c>
      <c r="B10" s="6"/>
      <c r="C10" s="10"/>
      <c r="D10" s="10"/>
      <c r="E10" s="8" t="s">
        <v>13</v>
      </c>
      <c r="F10" s="8"/>
      <c r="G10" s="8"/>
      <c r="H10" s="8"/>
    </row>
    <row r="11" customFormat="false" ht="19.5" hidden="false" customHeight="true" outlineLevel="0" collapsed="false">
      <c r="A11" s="6" t="s">
        <v>14</v>
      </c>
      <c r="B11" s="6"/>
      <c r="C11" s="10"/>
      <c r="D11" s="10"/>
      <c r="E11" s="8" t="s">
        <v>15</v>
      </c>
      <c r="F11" s="8"/>
      <c r="G11" s="8"/>
      <c r="H11" s="8"/>
    </row>
    <row r="12" customFormat="false" ht="19.5" hidden="false" customHeight="true" outlineLevel="0" collapsed="false">
      <c r="A12" s="6" t="s">
        <v>16</v>
      </c>
      <c r="B12" s="6"/>
      <c r="C12" s="10"/>
      <c r="D12" s="10"/>
      <c r="E12" s="8" t="s">
        <v>15</v>
      </c>
      <c r="F12" s="8"/>
      <c r="G12" s="8"/>
      <c r="H12" s="8"/>
    </row>
    <row r="13" customFormat="false" ht="19.5" hidden="false" customHeight="true" outlineLevel="0" collapsed="false">
      <c r="A13" s="6" t="s">
        <v>17</v>
      </c>
      <c r="B13" s="6"/>
      <c r="C13" s="11"/>
      <c r="D13" s="11"/>
      <c r="E13" s="8" t="s">
        <v>18</v>
      </c>
      <c r="F13" s="8"/>
      <c r="G13" s="8"/>
      <c r="H13" s="8"/>
    </row>
    <row r="14" customFormat="false" ht="7.5" hidden="false" customHeight="true" outlineLevel="0" collapsed="false"/>
    <row r="15" customFormat="false" ht="21.75" hidden="false" customHeight="true" outlineLevel="0" collapsed="false">
      <c r="A15" s="5" t="s">
        <v>19</v>
      </c>
      <c r="B15" s="5"/>
      <c r="C15" s="5"/>
      <c r="D15" s="5"/>
      <c r="E15" s="5"/>
      <c r="F15" s="5"/>
      <c r="G15" s="5"/>
      <c r="H15" s="5"/>
    </row>
    <row r="16" customFormat="false" ht="24" hidden="false" customHeight="true" outlineLevel="0" collapsed="false">
      <c r="A16" s="12" t="s">
        <v>20</v>
      </c>
      <c r="B16" s="12" t="s">
        <v>21</v>
      </c>
      <c r="C16" s="12"/>
      <c r="D16" s="12" t="s">
        <v>22</v>
      </c>
      <c r="E16" s="12" t="s">
        <v>23</v>
      </c>
      <c r="F16" s="12"/>
      <c r="G16" s="12" t="s">
        <v>24</v>
      </c>
      <c r="H16" s="12"/>
    </row>
    <row r="17" customFormat="false" ht="31.5" hidden="false" customHeight="true" outlineLevel="0" collapsed="false">
      <c r="A17" s="13" t="n">
        <v>1</v>
      </c>
      <c r="B17" s="14" t="s">
        <v>25</v>
      </c>
      <c r="C17" s="14"/>
      <c r="D17" s="15" t="s">
        <v>26</v>
      </c>
      <c r="E17" s="16" t="s">
        <v>27</v>
      </c>
      <c r="F17" s="16"/>
      <c r="G17" s="17" t="s">
        <v>28</v>
      </c>
      <c r="H17" s="17"/>
    </row>
    <row r="18" customFormat="false" ht="31.5" hidden="false" customHeight="true" outlineLevel="0" collapsed="false">
      <c r="A18" s="18" t="n">
        <v>2</v>
      </c>
      <c r="B18" s="19" t="s">
        <v>29</v>
      </c>
      <c r="C18" s="19"/>
      <c r="D18" s="20" t="s">
        <v>30</v>
      </c>
      <c r="E18" s="21" t="s">
        <v>31</v>
      </c>
      <c r="F18" s="21"/>
      <c r="G18" s="22" t="s">
        <v>32</v>
      </c>
      <c r="H18" s="22"/>
    </row>
    <row r="19" customFormat="false" ht="31.5" hidden="false" customHeight="true" outlineLevel="0" collapsed="false">
      <c r="A19" s="13" t="n">
        <v>3</v>
      </c>
      <c r="B19" s="14" t="s">
        <v>33</v>
      </c>
      <c r="C19" s="14"/>
      <c r="D19" s="15" t="s">
        <v>34</v>
      </c>
      <c r="E19" s="16" t="s">
        <v>35</v>
      </c>
      <c r="F19" s="16"/>
      <c r="G19" s="17" t="s">
        <v>32</v>
      </c>
      <c r="H19" s="17"/>
    </row>
    <row r="20" customFormat="false" ht="31.5" hidden="false" customHeight="true" outlineLevel="0" collapsed="false">
      <c r="A20" s="18" t="n">
        <v>4</v>
      </c>
      <c r="B20" s="19" t="s">
        <v>36</v>
      </c>
      <c r="C20" s="19"/>
      <c r="D20" s="20" t="s">
        <v>37</v>
      </c>
      <c r="E20" s="21" t="s">
        <v>38</v>
      </c>
      <c r="F20" s="21"/>
      <c r="G20" s="22" t="s">
        <v>39</v>
      </c>
      <c r="H20" s="22"/>
    </row>
    <row r="21" customFormat="false" ht="31.5" hidden="false" customHeight="true" outlineLevel="0" collapsed="false">
      <c r="A21" s="13" t="n">
        <v>5</v>
      </c>
      <c r="B21" s="14" t="s">
        <v>40</v>
      </c>
      <c r="C21" s="14"/>
      <c r="D21" s="15" t="s">
        <v>41</v>
      </c>
      <c r="E21" s="16" t="s">
        <v>42</v>
      </c>
      <c r="F21" s="16"/>
      <c r="G21" s="17" t="s">
        <v>43</v>
      </c>
      <c r="H21" s="17"/>
    </row>
    <row r="22" customFormat="false" ht="31.5" hidden="false" customHeight="true" outlineLevel="0" collapsed="false">
      <c r="A22" s="18" t="n">
        <v>6</v>
      </c>
      <c r="B22" s="19" t="s">
        <v>44</v>
      </c>
      <c r="C22" s="19"/>
      <c r="D22" s="20" t="s">
        <v>45</v>
      </c>
      <c r="E22" s="21" t="s">
        <v>46</v>
      </c>
      <c r="F22" s="21"/>
      <c r="G22" s="22" t="s">
        <v>47</v>
      </c>
      <c r="H22" s="22"/>
    </row>
    <row r="23" customFormat="false" ht="31.5" hidden="false" customHeight="true" outlineLevel="0" collapsed="false">
      <c r="A23" s="13" t="n">
        <v>7</v>
      </c>
      <c r="B23" s="14" t="s">
        <v>48</v>
      </c>
      <c r="C23" s="14"/>
      <c r="D23" s="15" t="s">
        <v>49</v>
      </c>
      <c r="E23" s="16" t="s">
        <v>50</v>
      </c>
      <c r="F23" s="16"/>
      <c r="G23" s="17" t="s">
        <v>51</v>
      </c>
      <c r="H23" s="17"/>
    </row>
    <row r="24" customFormat="false" ht="31.5" hidden="false" customHeight="true" outlineLevel="0" collapsed="false">
      <c r="A24" s="18" t="n">
        <v>8</v>
      </c>
      <c r="B24" s="19" t="s">
        <v>52</v>
      </c>
      <c r="C24" s="19"/>
      <c r="D24" s="20" t="s">
        <v>53</v>
      </c>
      <c r="E24" s="21" t="s">
        <v>54</v>
      </c>
      <c r="F24" s="21"/>
      <c r="G24" s="22" t="s">
        <v>55</v>
      </c>
      <c r="H24" s="22"/>
    </row>
    <row r="25" customFormat="false" ht="31.5" hidden="false" customHeight="true" outlineLevel="0" collapsed="false">
      <c r="A25" s="13" t="n">
        <v>9</v>
      </c>
      <c r="B25" s="14" t="s">
        <v>56</v>
      </c>
      <c r="C25" s="14"/>
      <c r="D25" s="15" t="s">
        <v>57</v>
      </c>
      <c r="E25" s="16" t="s">
        <v>58</v>
      </c>
      <c r="F25" s="16"/>
      <c r="G25" s="17" t="s">
        <v>59</v>
      </c>
      <c r="H25" s="17"/>
    </row>
    <row r="26" customFormat="false" ht="31.5" hidden="false" customHeight="true" outlineLevel="0" collapsed="false">
      <c r="A26" s="18" t="n">
        <v>10</v>
      </c>
      <c r="B26" s="19" t="s">
        <v>60</v>
      </c>
      <c r="C26" s="19"/>
      <c r="D26" s="20" t="s">
        <v>61</v>
      </c>
      <c r="E26" s="21" t="s">
        <v>62</v>
      </c>
      <c r="F26" s="21"/>
      <c r="G26" s="22" t="s">
        <v>63</v>
      </c>
      <c r="H26" s="22"/>
    </row>
    <row r="27" customFormat="false" ht="7.5" hidden="false" customHeight="true" outlineLevel="0" collapsed="false"/>
    <row r="28" customFormat="false" ht="21.75" hidden="false" customHeight="true" outlineLevel="0" collapsed="false">
      <c r="A28" s="5" t="s">
        <v>64</v>
      </c>
      <c r="B28" s="5"/>
      <c r="C28" s="5"/>
      <c r="D28" s="5"/>
      <c r="E28" s="5"/>
      <c r="F28" s="5"/>
      <c r="G28" s="5"/>
      <c r="H28" s="5"/>
    </row>
    <row r="29" customFormat="false" ht="18.75" hidden="false" customHeight="true" outlineLevel="0" collapsed="false">
      <c r="A29" s="23"/>
      <c r="B29" s="23"/>
      <c r="C29" s="6" t="s">
        <v>65</v>
      </c>
      <c r="D29" s="8" t="s">
        <v>66</v>
      </c>
      <c r="E29" s="8"/>
      <c r="F29" s="8"/>
      <c r="G29" s="8"/>
      <c r="H29" s="8"/>
    </row>
    <row r="30" customFormat="false" ht="18.75" hidden="false" customHeight="true" outlineLevel="0" collapsed="false">
      <c r="A30" s="24" t="s">
        <v>67</v>
      </c>
      <c r="B30" s="24"/>
      <c r="C30" s="6" t="s">
        <v>68</v>
      </c>
      <c r="D30" s="8" t="s">
        <v>69</v>
      </c>
      <c r="E30" s="8"/>
      <c r="F30" s="8"/>
      <c r="G30" s="8"/>
      <c r="H30" s="8"/>
    </row>
    <row r="31" customFormat="false" ht="18.75" hidden="false" customHeight="true" outlineLevel="0" collapsed="false">
      <c r="A31" s="25" t="s">
        <v>67</v>
      </c>
      <c r="B31" s="25"/>
      <c r="C31" s="6" t="s">
        <v>70</v>
      </c>
      <c r="D31" s="8" t="s">
        <v>71</v>
      </c>
      <c r="E31" s="8"/>
      <c r="F31" s="8"/>
      <c r="G31" s="8"/>
      <c r="H31" s="8"/>
    </row>
    <row r="32" customFormat="false" ht="18.75" hidden="false" customHeight="true" outlineLevel="0" collapsed="false">
      <c r="A32" s="26" t="s">
        <v>67</v>
      </c>
      <c r="B32" s="26"/>
      <c r="C32" s="6" t="s">
        <v>72</v>
      </c>
      <c r="D32" s="8" t="s">
        <v>73</v>
      </c>
      <c r="E32" s="8"/>
      <c r="F32" s="8"/>
      <c r="G32" s="8"/>
      <c r="H32" s="8"/>
    </row>
    <row r="34" customFormat="false" ht="18" hidden="false" customHeight="true" outlineLevel="0" collapsed="false">
      <c r="A34" s="27" t="s">
        <v>74</v>
      </c>
      <c r="B34" s="27"/>
      <c r="C34" s="27"/>
      <c r="D34" s="27"/>
      <c r="E34" s="27"/>
      <c r="F34" s="27"/>
      <c r="G34" s="27"/>
      <c r="H34" s="27"/>
    </row>
    <row r="35" customFormat="false" ht="15" hidden="false" customHeight="true" outlineLevel="0" collapsed="false">
      <c r="A35" s="28" t="s">
        <v>75</v>
      </c>
      <c r="B35" s="28"/>
      <c r="C35" s="28"/>
      <c r="D35" s="28"/>
      <c r="E35" s="28"/>
      <c r="F35" s="28"/>
      <c r="G35" s="28"/>
      <c r="H35" s="28"/>
    </row>
    <row r="36" customFormat="false" ht="15" hidden="false" customHeight="true" outlineLevel="0" collapsed="false">
      <c r="A36" s="28" t="s">
        <v>76</v>
      </c>
      <c r="B36" s="28"/>
      <c r="C36" s="28"/>
      <c r="D36" s="28"/>
      <c r="E36" s="28"/>
      <c r="F36" s="28"/>
      <c r="G36" s="28"/>
      <c r="H36" s="28"/>
    </row>
    <row r="37" customFormat="false" ht="15" hidden="false" customHeight="true" outlineLevel="0" collapsed="false">
      <c r="A37" s="28" t="s">
        <v>77</v>
      </c>
      <c r="B37" s="28"/>
      <c r="C37" s="28"/>
      <c r="D37" s="28"/>
      <c r="E37" s="28"/>
      <c r="F37" s="28"/>
      <c r="G37" s="28"/>
      <c r="H37" s="28"/>
    </row>
    <row r="38" customFormat="false" ht="15" hidden="false" customHeight="true" outlineLevel="0" collapsed="false">
      <c r="A38" s="28" t="s">
        <v>78</v>
      </c>
      <c r="B38" s="28"/>
      <c r="C38" s="28"/>
      <c r="D38" s="28"/>
      <c r="E38" s="28"/>
      <c r="F38" s="28"/>
      <c r="G38" s="28"/>
      <c r="H38" s="28"/>
    </row>
    <row r="39" customFormat="false" ht="15" hidden="false" customHeight="true" outlineLevel="0" collapsed="false">
      <c r="A39" s="28" t="s">
        <v>79</v>
      </c>
      <c r="B39" s="28"/>
      <c r="C39" s="28"/>
      <c r="D39" s="28"/>
      <c r="E39" s="28"/>
      <c r="F39" s="28"/>
      <c r="G39" s="28"/>
      <c r="H39" s="28"/>
    </row>
    <row r="40" customFormat="false" ht="15" hidden="false" customHeight="true" outlineLevel="0" collapsed="false">
      <c r="A40" s="28" t="s">
        <v>80</v>
      </c>
      <c r="B40" s="28"/>
      <c r="C40" s="28"/>
      <c r="D40" s="28"/>
      <c r="E40" s="28"/>
      <c r="F40" s="28"/>
      <c r="G40" s="28"/>
      <c r="H40" s="28"/>
    </row>
  </sheetData>
  <mergeCells count="81">
    <mergeCell ref="A1:H1"/>
    <mergeCell ref="A2:H2"/>
    <mergeCell ref="A3:H3"/>
    <mergeCell ref="A4:H4"/>
    <mergeCell ref="A5:B5"/>
    <mergeCell ref="C5:D5"/>
    <mergeCell ref="E5:H5"/>
    <mergeCell ref="A6:B6"/>
    <mergeCell ref="C6:D6"/>
    <mergeCell ref="E6:H6"/>
    <mergeCell ref="A7:B7"/>
    <mergeCell ref="C7:D7"/>
    <mergeCell ref="E7:H7"/>
    <mergeCell ref="A8:B8"/>
    <mergeCell ref="C8:D8"/>
    <mergeCell ref="E8:H8"/>
    <mergeCell ref="A9:B9"/>
    <mergeCell ref="C9:D9"/>
    <mergeCell ref="E9:H9"/>
    <mergeCell ref="A10:B10"/>
    <mergeCell ref="C10:D10"/>
    <mergeCell ref="E10:H10"/>
    <mergeCell ref="A11:B11"/>
    <mergeCell ref="C11:D11"/>
    <mergeCell ref="E11:H11"/>
    <mergeCell ref="A12:B12"/>
    <mergeCell ref="C12:D12"/>
    <mergeCell ref="E12:H12"/>
    <mergeCell ref="A13:B13"/>
    <mergeCell ref="C13:D13"/>
    <mergeCell ref="E13:H13"/>
    <mergeCell ref="A15:H15"/>
    <mergeCell ref="B16:C16"/>
    <mergeCell ref="E16:F16"/>
    <mergeCell ref="G16:H16"/>
    <mergeCell ref="B17:C17"/>
    <mergeCell ref="E17:F17"/>
    <mergeCell ref="G17:H17"/>
    <mergeCell ref="B18:C18"/>
    <mergeCell ref="E18:F18"/>
    <mergeCell ref="G18:H18"/>
    <mergeCell ref="B19:C19"/>
    <mergeCell ref="E19:F19"/>
    <mergeCell ref="G19:H19"/>
    <mergeCell ref="B20:C20"/>
    <mergeCell ref="E20:F20"/>
    <mergeCell ref="G20:H20"/>
    <mergeCell ref="B21:C21"/>
    <mergeCell ref="E21:F21"/>
    <mergeCell ref="G21:H21"/>
    <mergeCell ref="B22:C22"/>
    <mergeCell ref="E22:F22"/>
    <mergeCell ref="G22:H22"/>
    <mergeCell ref="B23:C23"/>
    <mergeCell ref="E23:F23"/>
    <mergeCell ref="G23:H23"/>
    <mergeCell ref="B24:C24"/>
    <mergeCell ref="E24:F24"/>
    <mergeCell ref="G24:H24"/>
    <mergeCell ref="B25:C25"/>
    <mergeCell ref="E25:F25"/>
    <mergeCell ref="G25:H25"/>
    <mergeCell ref="B26:C26"/>
    <mergeCell ref="E26:F26"/>
    <mergeCell ref="G26:H26"/>
    <mergeCell ref="A28:H28"/>
    <mergeCell ref="A29:B29"/>
    <mergeCell ref="D29:H29"/>
    <mergeCell ref="A30:B30"/>
    <mergeCell ref="D30:H30"/>
    <mergeCell ref="A31:B31"/>
    <mergeCell ref="D31:H31"/>
    <mergeCell ref="A32:B32"/>
    <mergeCell ref="D32:H32"/>
    <mergeCell ref="A34:H34"/>
    <mergeCell ref="A35:H35"/>
    <mergeCell ref="A36:H36"/>
    <mergeCell ref="A37:H37"/>
    <mergeCell ref="A38:H38"/>
    <mergeCell ref="A39:H39"/>
    <mergeCell ref="A40:H40"/>
  </mergeCells>
  <hyperlinks>
    <hyperlink ref="B17" location="'دفتر ثبت اسناد'!A1" display="دفتر ثبت اسناد"/>
    <hyperlink ref="B18" location="'صورت حساب کلی'!A1" display="صورت حساب کلی"/>
    <hyperlink ref="B19" location="'تفکیک شهریه و هزینه ها'!A1" display="تفکیک شهریه و هزینه ها"/>
    <hyperlink ref="B20" location="'حقوق'!A1" display="حقوق"/>
    <hyperlink ref="B21" location="'سند پرداخت وجه'!A1" display="سند پرداخت وجه"/>
    <hyperlink ref="B22" location="'درخواست رخصتی'!A1" display="درخواست رخصتی"/>
    <hyperlink ref="B23" location="'فورم ماموریت'!A1" display="فورم ماموریت"/>
    <hyperlink ref="B24" location="'وکالت موقت'!A1" display="وکالت موقت"/>
    <hyperlink ref="B25" location="'قرارداد ترانسپورت'!A1" display="قرارداد ترانسپورت"/>
    <hyperlink ref="B26" location="'نامه انتقالی'!A1" display="نامه انتقالی"/>
  </hyperlinks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H6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34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22"/>
  </cols>
  <sheetData>
    <row r="1" customFormat="false" ht="21.75" hidden="false" customHeight="true" outlineLevel="0" collapsed="false">
      <c r="A1" s="29" t="str">
        <f aca="false">'فهرست و راهنما'!$C$5</f>
        <v>مؤسسهٔ خیریه، فرهنگی و اجتماعی منجی موعود ( عج )</v>
      </c>
      <c r="B1" s="29"/>
      <c r="C1" s="29"/>
      <c r="D1" s="29"/>
      <c r="E1" s="29"/>
      <c r="F1" s="29"/>
      <c r="G1" s="29"/>
      <c r="H1" s="29"/>
    </row>
    <row r="2" customFormat="false" ht="18" hidden="false" customHeight="true" outlineLevel="0" collapsed="false">
      <c r="A2" s="3" t="str">
        <f aca="false">'فهرست و راهنما'!$C$6</f>
        <v>تحت اشراف حاج آقای مصباح موسوی، نمایندهٔ مرجع عالیقدر شیعه حضرت آیت‌الله العظمی سیستانی ( دام ظله العالی )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30" t="str">
        <f aca="false">"دفتر ثبت اسناد  –  سال مالی  "&amp;'فهرست و راهنما'!$C$13</f>
        <v>دفتر ثبت اسناد  –  سال مالی  </v>
      </c>
      <c r="B3" s="30"/>
      <c r="C3" s="30"/>
      <c r="D3" s="30"/>
      <c r="E3" s="30"/>
      <c r="F3" s="30"/>
      <c r="G3" s="30"/>
      <c r="H3" s="30"/>
    </row>
    <row r="4" customFormat="false" ht="13.5" hidden="false" customHeight="true" outlineLevel="0" collapsed="false">
      <c r="A4" s="31" t="str">
        <f aca="false">"کود فورم:  REG-01"</f>
        <v>کود فورم:  REG-01</v>
      </c>
      <c r="B4" s="31"/>
      <c r="C4" s="31"/>
      <c r="D4" s="31"/>
      <c r="E4" s="31"/>
      <c r="F4" s="31"/>
      <c r="G4" s="31"/>
      <c r="H4" s="31"/>
    </row>
    <row r="5" customFormat="false" ht="6" hidden="false" customHeight="true" outlineLevel="0" collapsed="false"/>
    <row r="6" customFormat="false" ht="25.5" hidden="false" customHeight="true" outlineLevel="0" collapsed="false">
      <c r="A6" s="12" t="s">
        <v>81</v>
      </c>
      <c r="B6" s="12" t="s">
        <v>82</v>
      </c>
      <c r="C6" s="12" t="s">
        <v>83</v>
      </c>
      <c r="D6" s="12" t="s">
        <v>84</v>
      </c>
      <c r="E6" s="12" t="s">
        <v>85</v>
      </c>
      <c r="F6" s="12" t="s">
        <v>86</v>
      </c>
      <c r="G6" s="12" t="s">
        <v>87</v>
      </c>
      <c r="H6" s="12" t="s">
        <v>88</v>
      </c>
    </row>
    <row r="7" customFormat="false" ht="18.75" hidden="false" customHeight="true" outlineLevel="0" collapsed="false">
      <c r="A7" s="32" t="str">
        <f aca="false">IF(C7="","",COUNTA($C$7:C7))</f>
        <v/>
      </c>
      <c r="B7" s="10"/>
      <c r="C7" s="10"/>
      <c r="D7" s="10"/>
      <c r="E7" s="7"/>
      <c r="F7" s="33"/>
      <c r="G7" s="10"/>
      <c r="H7" s="10"/>
    </row>
    <row r="8" customFormat="false" ht="18.75" hidden="false" customHeight="true" outlineLevel="0" collapsed="false">
      <c r="A8" s="34" t="str">
        <f aca="false">IF(C8="","",COUNTA($C$7:C8))</f>
        <v/>
      </c>
      <c r="B8" s="10"/>
      <c r="C8" s="10"/>
      <c r="D8" s="10"/>
      <c r="E8" s="7"/>
      <c r="F8" s="33"/>
      <c r="G8" s="10"/>
      <c r="H8" s="10"/>
    </row>
    <row r="9" customFormat="false" ht="18.75" hidden="false" customHeight="true" outlineLevel="0" collapsed="false">
      <c r="A9" s="32" t="str">
        <f aca="false">IF(C9="","",COUNTA($C$7:C9))</f>
        <v/>
      </c>
      <c r="B9" s="10"/>
      <c r="C9" s="10"/>
      <c r="D9" s="10"/>
      <c r="E9" s="7"/>
      <c r="F9" s="33"/>
      <c r="G9" s="10"/>
      <c r="H9" s="10"/>
    </row>
    <row r="10" customFormat="false" ht="18.75" hidden="false" customHeight="true" outlineLevel="0" collapsed="false">
      <c r="A10" s="34" t="str">
        <f aca="false">IF(C10="","",COUNTA($C$7:C10))</f>
        <v/>
      </c>
      <c r="B10" s="10"/>
      <c r="C10" s="10"/>
      <c r="D10" s="10"/>
      <c r="E10" s="7"/>
      <c r="F10" s="33"/>
      <c r="G10" s="10"/>
      <c r="H10" s="10"/>
    </row>
    <row r="11" customFormat="false" ht="18.75" hidden="false" customHeight="true" outlineLevel="0" collapsed="false">
      <c r="A11" s="32" t="str">
        <f aca="false">IF(C11="","",COUNTA($C$7:C11))</f>
        <v/>
      </c>
      <c r="B11" s="10"/>
      <c r="C11" s="10"/>
      <c r="D11" s="10"/>
      <c r="E11" s="7"/>
      <c r="F11" s="33"/>
      <c r="G11" s="10"/>
      <c r="H11" s="10"/>
    </row>
    <row r="12" customFormat="false" ht="18.75" hidden="false" customHeight="true" outlineLevel="0" collapsed="false">
      <c r="A12" s="34" t="str">
        <f aca="false">IF(C12="","",COUNTA($C$7:C12))</f>
        <v/>
      </c>
      <c r="B12" s="10"/>
      <c r="C12" s="10"/>
      <c r="D12" s="10"/>
      <c r="E12" s="7"/>
      <c r="F12" s="33"/>
      <c r="G12" s="10"/>
      <c r="H12" s="10"/>
    </row>
    <row r="13" customFormat="false" ht="18.75" hidden="false" customHeight="true" outlineLevel="0" collapsed="false">
      <c r="A13" s="32" t="str">
        <f aca="false">IF(C13="","",COUNTA($C$7:C13))</f>
        <v/>
      </c>
      <c r="B13" s="10"/>
      <c r="C13" s="10"/>
      <c r="D13" s="10"/>
      <c r="E13" s="7"/>
      <c r="F13" s="33"/>
      <c r="G13" s="10"/>
      <c r="H13" s="10"/>
    </row>
    <row r="14" customFormat="false" ht="18.75" hidden="false" customHeight="true" outlineLevel="0" collapsed="false">
      <c r="A14" s="34" t="str">
        <f aca="false">IF(C14="","",COUNTA($C$7:C14))</f>
        <v/>
      </c>
      <c r="B14" s="10"/>
      <c r="C14" s="10"/>
      <c r="D14" s="10"/>
      <c r="E14" s="7"/>
      <c r="F14" s="33"/>
      <c r="G14" s="10"/>
      <c r="H14" s="10"/>
    </row>
    <row r="15" customFormat="false" ht="18.75" hidden="false" customHeight="true" outlineLevel="0" collapsed="false">
      <c r="A15" s="32" t="str">
        <f aca="false">IF(C15="","",COUNTA($C$7:C15))</f>
        <v/>
      </c>
      <c r="B15" s="10"/>
      <c r="C15" s="10"/>
      <c r="D15" s="10"/>
      <c r="E15" s="7"/>
      <c r="F15" s="33"/>
      <c r="G15" s="10"/>
      <c r="H15" s="10"/>
    </row>
    <row r="16" customFormat="false" ht="18.75" hidden="false" customHeight="true" outlineLevel="0" collapsed="false">
      <c r="A16" s="34" t="str">
        <f aca="false">IF(C16="","",COUNTA($C$7:C16))</f>
        <v/>
      </c>
      <c r="B16" s="10"/>
      <c r="C16" s="10"/>
      <c r="D16" s="10"/>
      <c r="E16" s="7"/>
      <c r="F16" s="33"/>
      <c r="G16" s="10"/>
      <c r="H16" s="10"/>
    </row>
    <row r="17" customFormat="false" ht="18.75" hidden="false" customHeight="true" outlineLevel="0" collapsed="false">
      <c r="A17" s="32" t="str">
        <f aca="false">IF(C17="","",COUNTA($C$7:C17))</f>
        <v/>
      </c>
      <c r="B17" s="10"/>
      <c r="C17" s="10"/>
      <c r="D17" s="10"/>
      <c r="E17" s="7"/>
      <c r="F17" s="33"/>
      <c r="G17" s="10"/>
      <c r="H17" s="10"/>
    </row>
    <row r="18" customFormat="false" ht="18.75" hidden="false" customHeight="true" outlineLevel="0" collapsed="false">
      <c r="A18" s="34" t="str">
        <f aca="false">IF(C18="","",COUNTA($C$7:C18))</f>
        <v/>
      </c>
      <c r="B18" s="10"/>
      <c r="C18" s="10"/>
      <c r="D18" s="10"/>
      <c r="E18" s="7"/>
      <c r="F18" s="33"/>
      <c r="G18" s="10"/>
      <c r="H18" s="10"/>
    </row>
    <row r="19" customFormat="false" ht="18.75" hidden="false" customHeight="true" outlineLevel="0" collapsed="false">
      <c r="A19" s="32" t="str">
        <f aca="false">IF(C19="","",COUNTA($C$7:C19))</f>
        <v/>
      </c>
      <c r="B19" s="10"/>
      <c r="C19" s="10"/>
      <c r="D19" s="10"/>
      <c r="E19" s="7"/>
      <c r="F19" s="33"/>
      <c r="G19" s="10"/>
      <c r="H19" s="10"/>
    </row>
    <row r="20" customFormat="false" ht="18.75" hidden="false" customHeight="true" outlineLevel="0" collapsed="false">
      <c r="A20" s="34" t="str">
        <f aca="false">IF(C20="","",COUNTA($C$7:C20))</f>
        <v/>
      </c>
      <c r="B20" s="10"/>
      <c r="C20" s="10"/>
      <c r="D20" s="10"/>
      <c r="E20" s="7"/>
      <c r="F20" s="33"/>
      <c r="G20" s="10"/>
      <c r="H20" s="10"/>
    </row>
    <row r="21" customFormat="false" ht="18.75" hidden="false" customHeight="true" outlineLevel="0" collapsed="false">
      <c r="A21" s="32" t="str">
        <f aca="false">IF(C21="","",COUNTA($C$7:C21))</f>
        <v/>
      </c>
      <c r="B21" s="10"/>
      <c r="C21" s="10"/>
      <c r="D21" s="10"/>
      <c r="E21" s="7"/>
      <c r="F21" s="33"/>
      <c r="G21" s="10"/>
      <c r="H21" s="10"/>
    </row>
    <row r="22" customFormat="false" ht="18.75" hidden="false" customHeight="true" outlineLevel="0" collapsed="false">
      <c r="A22" s="34" t="str">
        <f aca="false">IF(C22="","",COUNTA($C$7:C22))</f>
        <v/>
      </c>
      <c r="B22" s="10"/>
      <c r="C22" s="10"/>
      <c r="D22" s="10"/>
      <c r="E22" s="7"/>
      <c r="F22" s="33"/>
      <c r="G22" s="10"/>
      <c r="H22" s="10"/>
    </row>
    <row r="23" customFormat="false" ht="18.75" hidden="false" customHeight="true" outlineLevel="0" collapsed="false">
      <c r="A23" s="32" t="str">
        <f aca="false">IF(C23="","",COUNTA($C$7:C23))</f>
        <v/>
      </c>
      <c r="B23" s="10"/>
      <c r="C23" s="10"/>
      <c r="D23" s="10"/>
      <c r="E23" s="7"/>
      <c r="F23" s="33"/>
      <c r="G23" s="10"/>
      <c r="H23" s="10"/>
    </row>
    <row r="24" customFormat="false" ht="18.75" hidden="false" customHeight="true" outlineLevel="0" collapsed="false">
      <c r="A24" s="34" t="str">
        <f aca="false">IF(C24="","",COUNTA($C$7:C24))</f>
        <v/>
      </c>
      <c r="B24" s="10"/>
      <c r="C24" s="10"/>
      <c r="D24" s="10"/>
      <c r="E24" s="7"/>
      <c r="F24" s="33"/>
      <c r="G24" s="10"/>
      <c r="H24" s="10"/>
    </row>
    <row r="25" customFormat="false" ht="18.75" hidden="false" customHeight="true" outlineLevel="0" collapsed="false">
      <c r="A25" s="32" t="str">
        <f aca="false">IF(C25="","",COUNTA($C$7:C25))</f>
        <v/>
      </c>
      <c r="B25" s="10"/>
      <c r="C25" s="10"/>
      <c r="D25" s="10"/>
      <c r="E25" s="7"/>
      <c r="F25" s="33"/>
      <c r="G25" s="10"/>
      <c r="H25" s="10"/>
    </row>
    <row r="26" customFormat="false" ht="18.75" hidden="false" customHeight="true" outlineLevel="0" collapsed="false">
      <c r="A26" s="34" t="str">
        <f aca="false">IF(C26="","",COUNTA($C$7:C26))</f>
        <v/>
      </c>
      <c r="B26" s="10"/>
      <c r="C26" s="10"/>
      <c r="D26" s="10"/>
      <c r="E26" s="7"/>
      <c r="F26" s="33"/>
      <c r="G26" s="10"/>
      <c r="H26" s="10"/>
    </row>
    <row r="27" customFormat="false" ht="18.75" hidden="false" customHeight="true" outlineLevel="0" collapsed="false">
      <c r="A27" s="32" t="str">
        <f aca="false">IF(C27="","",COUNTA($C$7:C27))</f>
        <v/>
      </c>
      <c r="B27" s="10"/>
      <c r="C27" s="10"/>
      <c r="D27" s="10"/>
      <c r="E27" s="7"/>
      <c r="F27" s="33"/>
      <c r="G27" s="10"/>
      <c r="H27" s="10"/>
    </row>
    <row r="28" customFormat="false" ht="18.75" hidden="false" customHeight="true" outlineLevel="0" collapsed="false">
      <c r="A28" s="34" t="str">
        <f aca="false">IF(C28="","",COUNTA($C$7:C28))</f>
        <v/>
      </c>
      <c r="B28" s="10"/>
      <c r="C28" s="10"/>
      <c r="D28" s="10"/>
      <c r="E28" s="7"/>
      <c r="F28" s="33"/>
      <c r="G28" s="10"/>
      <c r="H28" s="10"/>
    </row>
    <row r="29" customFormat="false" ht="18.75" hidden="false" customHeight="true" outlineLevel="0" collapsed="false">
      <c r="A29" s="32" t="str">
        <f aca="false">IF(C29="","",COUNTA($C$7:C29))</f>
        <v/>
      </c>
      <c r="B29" s="10"/>
      <c r="C29" s="10"/>
      <c r="D29" s="10"/>
      <c r="E29" s="7"/>
      <c r="F29" s="33"/>
      <c r="G29" s="10"/>
      <c r="H29" s="10"/>
    </row>
    <row r="30" customFormat="false" ht="18.75" hidden="false" customHeight="true" outlineLevel="0" collapsed="false">
      <c r="A30" s="34" t="str">
        <f aca="false">IF(C30="","",COUNTA($C$7:C30))</f>
        <v/>
      </c>
      <c r="B30" s="10"/>
      <c r="C30" s="10"/>
      <c r="D30" s="10"/>
      <c r="E30" s="7"/>
      <c r="F30" s="33"/>
      <c r="G30" s="10"/>
      <c r="H30" s="10"/>
    </row>
    <row r="31" customFormat="false" ht="18.75" hidden="false" customHeight="true" outlineLevel="0" collapsed="false">
      <c r="A31" s="32" t="str">
        <f aca="false">IF(C31="","",COUNTA($C$7:C31))</f>
        <v/>
      </c>
      <c r="B31" s="10"/>
      <c r="C31" s="10"/>
      <c r="D31" s="10"/>
      <c r="E31" s="7"/>
      <c r="F31" s="33"/>
      <c r="G31" s="10"/>
      <c r="H31" s="10"/>
    </row>
    <row r="32" customFormat="false" ht="18.75" hidden="false" customHeight="true" outlineLevel="0" collapsed="false">
      <c r="A32" s="34" t="str">
        <f aca="false">IF(C32="","",COUNTA($C$7:C32))</f>
        <v/>
      </c>
      <c r="B32" s="10"/>
      <c r="C32" s="10"/>
      <c r="D32" s="10"/>
      <c r="E32" s="7"/>
      <c r="F32" s="33"/>
      <c r="G32" s="10"/>
      <c r="H32" s="10"/>
    </row>
    <row r="33" customFormat="false" ht="18.75" hidden="false" customHeight="true" outlineLevel="0" collapsed="false">
      <c r="A33" s="32" t="str">
        <f aca="false">IF(C33="","",COUNTA($C$7:C33))</f>
        <v/>
      </c>
      <c r="B33" s="10"/>
      <c r="C33" s="10"/>
      <c r="D33" s="10"/>
      <c r="E33" s="7"/>
      <c r="F33" s="33"/>
      <c r="G33" s="10"/>
      <c r="H33" s="10"/>
    </row>
    <row r="34" customFormat="false" ht="18.75" hidden="false" customHeight="true" outlineLevel="0" collapsed="false">
      <c r="A34" s="34" t="str">
        <f aca="false">IF(C34="","",COUNTA($C$7:C34))</f>
        <v/>
      </c>
      <c r="B34" s="10"/>
      <c r="C34" s="10"/>
      <c r="D34" s="10"/>
      <c r="E34" s="7"/>
      <c r="F34" s="33"/>
      <c r="G34" s="10"/>
      <c r="H34" s="10"/>
    </row>
    <row r="35" customFormat="false" ht="18.75" hidden="false" customHeight="true" outlineLevel="0" collapsed="false">
      <c r="A35" s="32" t="str">
        <f aca="false">IF(C35="","",COUNTA($C$7:C35))</f>
        <v/>
      </c>
      <c r="B35" s="10"/>
      <c r="C35" s="10"/>
      <c r="D35" s="10"/>
      <c r="E35" s="7"/>
      <c r="F35" s="33"/>
      <c r="G35" s="10"/>
      <c r="H35" s="10"/>
    </row>
    <row r="36" customFormat="false" ht="18.75" hidden="false" customHeight="true" outlineLevel="0" collapsed="false">
      <c r="A36" s="34" t="str">
        <f aca="false">IF(C36="","",COUNTA($C$7:C36))</f>
        <v/>
      </c>
      <c r="B36" s="10"/>
      <c r="C36" s="10"/>
      <c r="D36" s="10"/>
      <c r="E36" s="7"/>
      <c r="F36" s="33"/>
      <c r="G36" s="10"/>
      <c r="H36" s="10"/>
    </row>
    <row r="37" customFormat="false" ht="18.75" hidden="false" customHeight="true" outlineLevel="0" collapsed="false">
      <c r="A37" s="32" t="str">
        <f aca="false">IF(C37="","",COUNTA($C$7:C37))</f>
        <v/>
      </c>
      <c r="B37" s="10"/>
      <c r="C37" s="10"/>
      <c r="D37" s="10"/>
      <c r="E37" s="7"/>
      <c r="F37" s="33"/>
      <c r="G37" s="10"/>
      <c r="H37" s="10"/>
    </row>
    <row r="38" customFormat="false" ht="18.75" hidden="false" customHeight="true" outlineLevel="0" collapsed="false">
      <c r="A38" s="34" t="str">
        <f aca="false">IF(C38="","",COUNTA($C$7:C38))</f>
        <v/>
      </c>
      <c r="B38" s="10"/>
      <c r="C38" s="10"/>
      <c r="D38" s="10"/>
      <c r="E38" s="7"/>
      <c r="F38" s="33"/>
      <c r="G38" s="10"/>
      <c r="H38" s="10"/>
    </row>
    <row r="39" customFormat="false" ht="18.75" hidden="false" customHeight="true" outlineLevel="0" collapsed="false">
      <c r="A39" s="32" t="str">
        <f aca="false">IF(C39="","",COUNTA($C$7:C39))</f>
        <v/>
      </c>
      <c r="B39" s="10"/>
      <c r="C39" s="10"/>
      <c r="D39" s="10"/>
      <c r="E39" s="7"/>
      <c r="F39" s="33"/>
      <c r="G39" s="10"/>
      <c r="H39" s="10"/>
    </row>
    <row r="40" customFormat="false" ht="18.75" hidden="false" customHeight="true" outlineLevel="0" collapsed="false">
      <c r="A40" s="34" t="str">
        <f aca="false">IF(C40="","",COUNTA($C$7:C40))</f>
        <v/>
      </c>
      <c r="B40" s="10"/>
      <c r="C40" s="10"/>
      <c r="D40" s="10"/>
      <c r="E40" s="7"/>
      <c r="F40" s="33"/>
      <c r="G40" s="10"/>
      <c r="H40" s="10"/>
    </row>
    <row r="41" customFormat="false" ht="18.75" hidden="false" customHeight="true" outlineLevel="0" collapsed="false">
      <c r="A41" s="32" t="str">
        <f aca="false">IF(C41="","",COUNTA($C$7:C41))</f>
        <v/>
      </c>
      <c r="B41" s="10"/>
      <c r="C41" s="10"/>
      <c r="D41" s="10"/>
      <c r="E41" s="7"/>
      <c r="F41" s="33"/>
      <c r="G41" s="10"/>
      <c r="H41" s="10"/>
    </row>
    <row r="42" customFormat="false" ht="18.75" hidden="false" customHeight="true" outlineLevel="0" collapsed="false">
      <c r="A42" s="34" t="str">
        <f aca="false">IF(C42="","",COUNTA($C$7:C42))</f>
        <v/>
      </c>
      <c r="B42" s="10"/>
      <c r="C42" s="10"/>
      <c r="D42" s="10"/>
      <c r="E42" s="7"/>
      <c r="F42" s="33"/>
      <c r="G42" s="10"/>
      <c r="H42" s="10"/>
    </row>
    <row r="43" customFormat="false" ht="18.75" hidden="false" customHeight="true" outlineLevel="0" collapsed="false">
      <c r="A43" s="32" t="str">
        <f aca="false">IF(C43="","",COUNTA($C$7:C43))</f>
        <v/>
      </c>
      <c r="B43" s="10"/>
      <c r="C43" s="10"/>
      <c r="D43" s="10"/>
      <c r="E43" s="7"/>
      <c r="F43" s="33"/>
      <c r="G43" s="10"/>
      <c r="H43" s="10"/>
    </row>
    <row r="44" customFormat="false" ht="18.75" hidden="false" customHeight="true" outlineLevel="0" collapsed="false">
      <c r="A44" s="34" t="str">
        <f aca="false">IF(C44="","",COUNTA($C$7:C44))</f>
        <v/>
      </c>
      <c r="B44" s="10"/>
      <c r="C44" s="10"/>
      <c r="D44" s="10"/>
      <c r="E44" s="7"/>
      <c r="F44" s="33"/>
      <c r="G44" s="10"/>
      <c r="H44" s="10"/>
    </row>
    <row r="45" customFormat="false" ht="18.75" hidden="false" customHeight="true" outlineLevel="0" collapsed="false">
      <c r="A45" s="32" t="str">
        <f aca="false">IF(C45="","",COUNTA($C$7:C45))</f>
        <v/>
      </c>
      <c r="B45" s="10"/>
      <c r="C45" s="10"/>
      <c r="D45" s="10"/>
      <c r="E45" s="7"/>
      <c r="F45" s="33"/>
      <c r="G45" s="10"/>
      <c r="H45" s="10"/>
    </row>
    <row r="46" customFormat="false" ht="18.75" hidden="false" customHeight="true" outlineLevel="0" collapsed="false">
      <c r="A46" s="34" t="str">
        <f aca="false">IF(C46="","",COUNTA($C$7:C46))</f>
        <v/>
      </c>
      <c r="B46" s="10"/>
      <c r="C46" s="10"/>
      <c r="D46" s="10"/>
      <c r="E46" s="7"/>
      <c r="F46" s="33"/>
      <c r="G46" s="10"/>
      <c r="H46" s="10"/>
    </row>
    <row r="47" customFormat="false" ht="24" hidden="false" customHeight="true" outlineLevel="0" collapsed="false">
      <c r="A47" s="35" t="s">
        <v>89</v>
      </c>
      <c r="B47" s="35"/>
      <c r="C47" s="35"/>
      <c r="D47" s="35"/>
      <c r="E47" s="35"/>
      <c r="F47" s="36" t="n">
        <f aca="false">SUM(F7:F46)</f>
        <v>0</v>
      </c>
      <c r="G47" s="37" t="str">
        <f aca="false">"تعداد اسناد:  "&amp;COUNTA(C7:C46)</f>
        <v>تعداد اسناد:  0</v>
      </c>
      <c r="H47" s="37"/>
    </row>
    <row r="48" customFormat="false" ht="7.5" hidden="false" customHeight="true" outlineLevel="0" collapsed="false"/>
    <row r="49" customFormat="false" ht="21.75" hidden="false" customHeight="true" outlineLevel="0" collapsed="false">
      <c r="A49" s="5" t="s">
        <v>90</v>
      </c>
      <c r="B49" s="5"/>
      <c r="C49" s="5"/>
      <c r="D49" s="5"/>
      <c r="E49" s="5"/>
      <c r="F49" s="5"/>
      <c r="G49" s="5"/>
      <c r="H49" s="5"/>
    </row>
    <row r="50" customFormat="false" ht="19.5" hidden="false" customHeight="true" outlineLevel="0" collapsed="false">
      <c r="A50" s="38" t="s">
        <v>83</v>
      </c>
      <c r="B50" s="38"/>
      <c r="C50" s="38"/>
      <c r="D50" s="38" t="s">
        <v>91</v>
      </c>
      <c r="E50" s="38" t="s">
        <v>92</v>
      </c>
      <c r="F50" s="38"/>
      <c r="G50" s="38" t="s">
        <v>93</v>
      </c>
      <c r="H50" s="38"/>
    </row>
    <row r="51" customFormat="false" ht="18.75" hidden="false" customHeight="true" outlineLevel="0" collapsed="false">
      <c r="A51" s="39" t="s">
        <v>29</v>
      </c>
      <c r="B51" s="39"/>
      <c r="C51" s="39"/>
      <c r="D51" s="32" t="n">
        <f aca="false">COUNTIF($C$7:$C$46,$A51)</f>
        <v>0</v>
      </c>
      <c r="E51" s="40" t="n">
        <f aca="false">SUMIF($C$7:$C$46,$A51,$F$7:$F$46)</f>
        <v>0</v>
      </c>
      <c r="F51" s="40"/>
      <c r="G51" s="41" t="n">
        <f aca="false">IF($F$47=0,0,E51/$F$47)</f>
        <v>0</v>
      </c>
      <c r="H51" s="41"/>
    </row>
    <row r="52" customFormat="false" ht="18.75" hidden="false" customHeight="true" outlineLevel="0" collapsed="false">
      <c r="A52" s="42" t="s">
        <v>94</v>
      </c>
      <c r="B52" s="42"/>
      <c r="C52" s="42"/>
      <c r="D52" s="34" t="n">
        <f aca="false">COUNTIF($C$7:$C$46,$A52)</f>
        <v>0</v>
      </c>
      <c r="E52" s="43" t="n">
        <f aca="false">SUMIF($C$7:$C$46,$A52,$F$7:$F$46)</f>
        <v>0</v>
      </c>
      <c r="F52" s="43"/>
      <c r="G52" s="44" t="n">
        <f aca="false">IF($F$47=0,0,E52/$F$47)</f>
        <v>0</v>
      </c>
      <c r="H52" s="44"/>
    </row>
    <row r="53" customFormat="false" ht="18.75" hidden="false" customHeight="true" outlineLevel="0" collapsed="false">
      <c r="A53" s="39" t="s">
        <v>40</v>
      </c>
      <c r="B53" s="39"/>
      <c r="C53" s="39"/>
      <c r="D53" s="32" t="n">
        <f aca="false">COUNTIF($C$7:$C$46,$A53)</f>
        <v>0</v>
      </c>
      <c r="E53" s="40" t="n">
        <f aca="false">SUMIF($C$7:$C$46,$A53,$F$7:$F$46)</f>
        <v>0</v>
      </c>
      <c r="F53" s="40"/>
      <c r="G53" s="41" t="n">
        <f aca="false">IF($F$47=0,0,E53/$F$47)</f>
        <v>0</v>
      </c>
      <c r="H53" s="41"/>
    </row>
    <row r="54" customFormat="false" ht="18.75" hidden="false" customHeight="true" outlineLevel="0" collapsed="false">
      <c r="A54" s="42" t="s">
        <v>44</v>
      </c>
      <c r="B54" s="42"/>
      <c r="C54" s="42"/>
      <c r="D54" s="34" t="n">
        <f aca="false">COUNTIF($C$7:$C$46,$A54)</f>
        <v>0</v>
      </c>
      <c r="E54" s="43" t="n">
        <f aca="false">SUMIF($C$7:$C$46,$A54,$F$7:$F$46)</f>
        <v>0</v>
      </c>
      <c r="F54" s="43"/>
      <c r="G54" s="44" t="n">
        <f aca="false">IF($F$47=0,0,E54/$F$47)</f>
        <v>0</v>
      </c>
      <c r="H54" s="44"/>
    </row>
    <row r="55" customFormat="false" ht="18.75" hidden="false" customHeight="true" outlineLevel="0" collapsed="false">
      <c r="A55" s="39" t="s">
        <v>48</v>
      </c>
      <c r="B55" s="39"/>
      <c r="C55" s="39"/>
      <c r="D55" s="32" t="n">
        <f aca="false">COUNTIF($C$7:$C$46,$A55)</f>
        <v>0</v>
      </c>
      <c r="E55" s="40" t="n">
        <f aca="false">SUMIF($C$7:$C$46,$A55,$F$7:$F$46)</f>
        <v>0</v>
      </c>
      <c r="F55" s="40"/>
      <c r="G55" s="41" t="n">
        <f aca="false">IF($F$47=0,0,E55/$F$47)</f>
        <v>0</v>
      </c>
      <c r="H55" s="41"/>
    </row>
    <row r="56" customFormat="false" ht="18.75" hidden="false" customHeight="true" outlineLevel="0" collapsed="false">
      <c r="A56" s="42" t="s">
        <v>52</v>
      </c>
      <c r="B56" s="42"/>
      <c r="C56" s="42"/>
      <c r="D56" s="34" t="n">
        <f aca="false">COUNTIF($C$7:$C$46,$A56)</f>
        <v>0</v>
      </c>
      <c r="E56" s="43" t="n">
        <f aca="false">SUMIF($C$7:$C$46,$A56,$F$7:$F$46)</f>
        <v>0</v>
      </c>
      <c r="F56" s="43"/>
      <c r="G56" s="44" t="n">
        <f aca="false">IF($F$47=0,0,E56/$F$47)</f>
        <v>0</v>
      </c>
      <c r="H56" s="44"/>
    </row>
    <row r="57" customFormat="false" ht="18.75" hidden="false" customHeight="true" outlineLevel="0" collapsed="false">
      <c r="A57" s="39" t="s">
        <v>56</v>
      </c>
      <c r="B57" s="39"/>
      <c r="C57" s="39"/>
      <c r="D57" s="32" t="n">
        <f aca="false">COUNTIF($C$7:$C$46,$A57)</f>
        <v>0</v>
      </c>
      <c r="E57" s="40" t="n">
        <f aca="false">SUMIF($C$7:$C$46,$A57,$F$7:$F$46)</f>
        <v>0</v>
      </c>
      <c r="F57" s="40"/>
      <c r="G57" s="41" t="n">
        <f aca="false">IF($F$47=0,0,E57/$F$47)</f>
        <v>0</v>
      </c>
      <c r="H57" s="41"/>
    </row>
    <row r="58" customFormat="false" ht="18.75" hidden="false" customHeight="true" outlineLevel="0" collapsed="false">
      <c r="A58" s="42" t="s">
        <v>60</v>
      </c>
      <c r="B58" s="42"/>
      <c r="C58" s="42"/>
      <c r="D58" s="34" t="n">
        <f aca="false">COUNTIF($C$7:$C$46,$A58)</f>
        <v>0</v>
      </c>
      <c r="E58" s="43" t="n">
        <f aca="false">SUMIF($C$7:$C$46,$A58,$F$7:$F$46)</f>
        <v>0</v>
      </c>
      <c r="F58" s="43"/>
      <c r="G58" s="44" t="n">
        <f aca="false">IF($F$47=0,0,E58/$F$47)</f>
        <v>0</v>
      </c>
      <c r="H58" s="44"/>
    </row>
    <row r="59" customFormat="false" ht="18.75" hidden="false" customHeight="true" outlineLevel="0" collapsed="false">
      <c r="A59" s="39" t="s">
        <v>95</v>
      </c>
      <c r="B59" s="39"/>
      <c r="C59" s="39"/>
      <c r="D59" s="32" t="n">
        <f aca="false">COUNTIF($C$7:$C$46,$A59)</f>
        <v>0</v>
      </c>
      <c r="E59" s="40" t="n">
        <f aca="false">SUMIF($C$7:$C$46,$A59,$F$7:$F$46)</f>
        <v>0</v>
      </c>
      <c r="F59" s="40"/>
      <c r="G59" s="41" t="n">
        <f aca="false">IF($F$47=0,0,E59/$F$47)</f>
        <v>0</v>
      </c>
      <c r="H59" s="41"/>
    </row>
    <row r="60" customFormat="false" ht="21" hidden="false" customHeight="true" outlineLevel="0" collapsed="false">
      <c r="A60" s="45" t="s">
        <v>96</v>
      </c>
      <c r="B60" s="45"/>
      <c r="C60" s="45"/>
      <c r="D60" s="46" t="n">
        <f aca="false">SUM(D51:D59)</f>
        <v>0</v>
      </c>
      <c r="E60" s="47" t="n">
        <f aca="false">SUM(E51:E59)</f>
        <v>0</v>
      </c>
      <c r="F60" s="47"/>
      <c r="G60" s="37" t="str">
        <f aca="false">IF(ROUND(E60-F47,0)=0,"مطابقت دارد","اختلاف: "&amp;TEXT(E60-F47,"#,##0"))</f>
        <v>مطابقت دارد</v>
      </c>
      <c r="H60" s="37"/>
    </row>
    <row r="62" customFormat="false" ht="18" hidden="false" customHeight="true" outlineLevel="0" collapsed="false">
      <c r="A62" s="27" t="s">
        <v>74</v>
      </c>
      <c r="B62" s="27"/>
      <c r="C62" s="27"/>
      <c r="D62" s="27"/>
      <c r="E62" s="27"/>
      <c r="F62" s="27"/>
      <c r="G62" s="27"/>
      <c r="H62" s="27"/>
    </row>
    <row r="63" customFormat="false" ht="15" hidden="false" customHeight="true" outlineLevel="0" collapsed="false">
      <c r="A63" s="28" t="s">
        <v>75</v>
      </c>
      <c r="B63" s="28"/>
      <c r="C63" s="28"/>
      <c r="D63" s="28"/>
      <c r="E63" s="28"/>
      <c r="F63" s="28"/>
      <c r="G63" s="28"/>
      <c r="H63" s="28"/>
    </row>
    <row r="64" customFormat="false" ht="15" hidden="false" customHeight="true" outlineLevel="0" collapsed="false">
      <c r="A64" s="28" t="s">
        <v>76</v>
      </c>
      <c r="B64" s="28"/>
      <c r="C64" s="28"/>
      <c r="D64" s="28"/>
      <c r="E64" s="28"/>
      <c r="F64" s="28"/>
      <c r="G64" s="28"/>
      <c r="H64" s="28"/>
    </row>
    <row r="65" customFormat="false" ht="15" hidden="false" customHeight="true" outlineLevel="0" collapsed="false">
      <c r="A65" s="28" t="s">
        <v>77</v>
      </c>
      <c r="B65" s="28"/>
      <c r="C65" s="28"/>
      <c r="D65" s="28"/>
      <c r="E65" s="28"/>
      <c r="F65" s="28"/>
      <c r="G65" s="28"/>
      <c r="H65" s="28"/>
    </row>
    <row r="66" customFormat="false" ht="15" hidden="false" customHeight="true" outlineLevel="0" collapsed="false">
      <c r="A66" s="28" t="s">
        <v>78</v>
      </c>
      <c r="B66" s="28"/>
      <c r="C66" s="28"/>
      <c r="D66" s="28"/>
      <c r="E66" s="28"/>
      <c r="F66" s="28"/>
      <c r="G66" s="28"/>
      <c r="H66" s="28"/>
    </row>
    <row r="67" customFormat="false" ht="15" hidden="false" customHeight="true" outlineLevel="0" collapsed="false">
      <c r="A67" s="28" t="s">
        <v>79</v>
      </c>
      <c r="B67" s="28"/>
      <c r="C67" s="28"/>
      <c r="D67" s="28"/>
      <c r="E67" s="28"/>
      <c r="F67" s="28"/>
      <c r="G67" s="28"/>
      <c r="H67" s="28"/>
    </row>
    <row r="68" customFormat="false" ht="15" hidden="false" customHeight="true" outlineLevel="0" collapsed="false">
      <c r="A68" s="28" t="s">
        <v>97</v>
      </c>
      <c r="B68" s="28"/>
      <c r="C68" s="28"/>
      <c r="D68" s="28"/>
      <c r="E68" s="28"/>
      <c r="F68" s="28"/>
      <c r="G68" s="28"/>
      <c r="H68" s="28"/>
    </row>
  </sheetData>
  <mergeCells count="47">
    <mergeCell ref="A1:H1"/>
    <mergeCell ref="A2:H2"/>
    <mergeCell ref="A3:H3"/>
    <mergeCell ref="A4:H4"/>
    <mergeCell ref="A47:E47"/>
    <mergeCell ref="G47:H47"/>
    <mergeCell ref="A49:H49"/>
    <mergeCell ref="A50:C50"/>
    <mergeCell ref="E50:F50"/>
    <mergeCell ref="G50:H50"/>
    <mergeCell ref="A51:C51"/>
    <mergeCell ref="E51:F51"/>
    <mergeCell ref="G51:H51"/>
    <mergeCell ref="A52:C52"/>
    <mergeCell ref="E52:F52"/>
    <mergeCell ref="G52:H52"/>
    <mergeCell ref="A53:C53"/>
    <mergeCell ref="E53:F53"/>
    <mergeCell ref="G53:H53"/>
    <mergeCell ref="A54:C54"/>
    <mergeCell ref="E54:F54"/>
    <mergeCell ref="G54:H54"/>
    <mergeCell ref="A55:C55"/>
    <mergeCell ref="E55:F55"/>
    <mergeCell ref="G55:H55"/>
    <mergeCell ref="A56:C56"/>
    <mergeCell ref="E56:F56"/>
    <mergeCell ref="G56:H56"/>
    <mergeCell ref="A57:C57"/>
    <mergeCell ref="E57:F57"/>
    <mergeCell ref="G57:H57"/>
    <mergeCell ref="A58:C58"/>
    <mergeCell ref="E58:F58"/>
    <mergeCell ref="G58:H58"/>
    <mergeCell ref="A59:C59"/>
    <mergeCell ref="E59:F59"/>
    <mergeCell ref="G59:H59"/>
    <mergeCell ref="A60:C60"/>
    <mergeCell ref="E60:F60"/>
    <mergeCell ref="G60:H60"/>
    <mergeCell ref="A62:H62"/>
    <mergeCell ref="A63:H63"/>
    <mergeCell ref="A64:H64"/>
    <mergeCell ref="A65:H65"/>
    <mergeCell ref="A66:H66"/>
    <mergeCell ref="A67:H67"/>
    <mergeCell ref="A68:H68"/>
  </mergeCells>
  <dataValidations count="2">
    <dataValidation allowBlank="true" errorStyle="stop" operator="between" showDropDown="false" showErrorMessage="false" showInputMessage="false" sqref="C7:C46" type="list">
      <formula1>"صورت حساب کلی,جدول معاشات,سند پرداخت وجه,درخواست رخصتی,فورم ماموریت,وکالت موقت,قرارداد ترانسپورت,نامه انتقالی,سایر"</formula1>
      <formula2>0</formula2>
    </dataValidation>
    <dataValidation allowBlank="true" errorStyle="stop" operator="between" showDropDown="false" showErrorMessage="false" showInputMessage="false" sqref="H7:H46" type="list">
      <formula1>"در جریان,تکمیل شد,امضاء شد,ارسال شد,بایگانی شد,لغو شد"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6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2"/>
    <col collapsed="false" customWidth="true" hidden="false" outlineLevel="0" max="4" min="4" style="1" width="20"/>
    <col collapsed="false" customWidth="true" hidden="false" outlineLevel="0" max="6" min="5" style="1" width="13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20"/>
  </cols>
  <sheetData>
    <row r="1" customFormat="false" ht="21.75" hidden="false" customHeight="true" outlineLevel="0" collapsed="false">
      <c r="A1" s="29" t="str">
        <f aca="false">'فهرست و راهنما'!$C$5</f>
        <v>مؤسسهٔ خیریه، فرهنگی و اجتماعی منجی موعود ( عج )</v>
      </c>
      <c r="B1" s="29"/>
      <c r="C1" s="29"/>
      <c r="D1" s="29"/>
      <c r="E1" s="29"/>
      <c r="F1" s="29"/>
      <c r="G1" s="29"/>
      <c r="H1" s="29"/>
      <c r="I1" s="29"/>
    </row>
    <row r="2" customFormat="false" ht="18" hidden="false" customHeight="true" outlineLevel="0" collapsed="false">
      <c r="A2" s="3" t="str">
        <f aca="false">'فهرست و راهنما'!$C$6</f>
        <v>تحت اشراف حاج آقای مصباح موسوی، نمایندهٔ مرجع عالیقدر شیعه حضرت آیت‌الله العظمی سیستانی ( دام ظله العالی )</v>
      </c>
      <c r="B2" s="3"/>
      <c r="C2" s="3"/>
      <c r="D2" s="3"/>
      <c r="E2" s="3"/>
      <c r="F2" s="3"/>
      <c r="G2" s="3"/>
      <c r="H2" s="3"/>
      <c r="I2" s="3"/>
    </row>
    <row r="3" customFormat="false" ht="30" hidden="false" customHeight="true" outlineLevel="0" collapsed="false">
      <c r="A3" s="30" t="str">
        <f aca="false">"صورت حساب کلی ایتام   –   برج  "&amp;$B$10&amp;"    سال  "&amp;$E$10</f>
        <v>صورت حساب کلی ایتام   –   برج      سال  </v>
      </c>
      <c r="B3" s="30"/>
      <c r="C3" s="30"/>
      <c r="D3" s="30"/>
      <c r="E3" s="30"/>
      <c r="F3" s="30"/>
      <c r="G3" s="30"/>
      <c r="H3" s="30"/>
      <c r="I3" s="30"/>
    </row>
    <row r="4" customFormat="false" ht="13.5" hidden="false" customHeight="true" outlineLevel="0" collapsed="false">
      <c r="A4" s="31" t="str">
        <f aca="false">"کود فورم:  FIN-02"</f>
        <v>کود فورم:  FIN-02</v>
      </c>
      <c r="B4" s="31"/>
      <c r="C4" s="31"/>
      <c r="D4" s="31"/>
      <c r="E4" s="31"/>
      <c r="F4" s="31"/>
      <c r="G4" s="31"/>
      <c r="H4" s="31"/>
      <c r="I4" s="31"/>
    </row>
    <row r="5" customFormat="false" ht="19.5" hidden="false" customHeight="true" outlineLevel="0" collapsed="false">
      <c r="A5" s="6" t="s">
        <v>84</v>
      </c>
      <c r="B5" s="6"/>
      <c r="C5" s="10"/>
      <c r="D5" s="6" t="s">
        <v>82</v>
      </c>
      <c r="E5" s="10"/>
      <c r="F5" s="6" t="s">
        <v>98</v>
      </c>
      <c r="G5" s="25" t="str">
        <f aca="false">IF('فهرست و راهنما'!$C$7="","",'فهرست و راهنما'!$C$7&amp;"  –  ")&amp;'فهرست و راهنما'!$C$8&amp;" / "&amp;'فهرست و راهنما'!$C$9</f>
        <v> / </v>
      </c>
      <c r="H5" s="25"/>
      <c r="I5" s="25"/>
    </row>
    <row r="6" customFormat="false" ht="6" hidden="false" customHeight="true" outlineLevel="0" collapsed="false"/>
    <row r="7" customFormat="false" ht="21.75" hidden="false" customHeight="true" outlineLevel="0" collapsed="false">
      <c r="A7" s="5" t="s">
        <v>99</v>
      </c>
      <c r="B7" s="5"/>
      <c r="C7" s="5"/>
      <c r="D7" s="5"/>
      <c r="E7" s="5"/>
      <c r="F7" s="5"/>
      <c r="G7" s="5"/>
      <c r="H7" s="5"/>
      <c r="I7" s="5"/>
    </row>
    <row r="8" customFormat="false" ht="19.5" hidden="false" customHeight="true" outlineLevel="0" collapsed="false">
      <c r="A8" s="6" t="s">
        <v>8</v>
      </c>
      <c r="B8" s="25" t="n">
        <f aca="false">'فهرست و راهنما'!$C$7</f>
        <v>0</v>
      </c>
      <c r="C8" s="25"/>
      <c r="D8" s="6" t="s">
        <v>10</v>
      </c>
      <c r="E8" s="25" t="n">
        <f aca="false">'فهرست و راهنما'!$C$8</f>
        <v>0</v>
      </c>
      <c r="F8" s="25"/>
      <c r="G8" s="6" t="s">
        <v>11</v>
      </c>
      <c r="H8" s="25" t="n">
        <f aca="false">'فهرست و راهنما'!$C$9</f>
        <v>0</v>
      </c>
      <c r="I8" s="25"/>
    </row>
    <row r="9" customFormat="false" ht="19.5" hidden="false" customHeight="true" outlineLevel="0" collapsed="false">
      <c r="A9" s="6" t="s">
        <v>12</v>
      </c>
      <c r="B9" s="25" t="str">
        <f aca="false">IF('فهرست و راهنما'!$C$10="","",'فهرست و راهنما'!$C$10)</f>
        <v/>
      </c>
      <c r="C9" s="25"/>
      <c r="D9" s="6" t="s">
        <v>100</v>
      </c>
      <c r="E9" s="10"/>
      <c r="F9" s="10"/>
      <c r="G9" s="6" t="s">
        <v>101</v>
      </c>
      <c r="H9" s="10"/>
      <c r="I9" s="10"/>
    </row>
    <row r="10" customFormat="false" ht="19.5" hidden="false" customHeight="true" outlineLevel="0" collapsed="false">
      <c r="A10" s="6" t="s">
        <v>102</v>
      </c>
      <c r="B10" s="10"/>
      <c r="C10" s="10"/>
      <c r="D10" s="6" t="s">
        <v>103</v>
      </c>
      <c r="E10" s="11"/>
      <c r="F10" s="11"/>
      <c r="G10" s="6" t="s">
        <v>104</v>
      </c>
      <c r="H10" s="48" t="n">
        <f aca="false">COUNT($D$26:$D$31)</f>
        <v>0</v>
      </c>
      <c r="I10" s="48"/>
    </row>
    <row r="11" customFormat="false" ht="19.5" hidden="false" customHeight="true" outlineLevel="0" collapsed="false">
      <c r="A11" s="6" t="s">
        <v>105</v>
      </c>
      <c r="B11" s="10"/>
      <c r="C11" s="10"/>
      <c r="D11" s="6" t="s">
        <v>106</v>
      </c>
      <c r="E11" s="10"/>
      <c r="F11" s="10"/>
      <c r="G11" s="6" t="s">
        <v>107</v>
      </c>
      <c r="H11" s="10"/>
      <c r="I11" s="10"/>
    </row>
    <row r="12" customFormat="false" ht="6" hidden="false" customHeight="true" outlineLevel="0" collapsed="false"/>
    <row r="13" customFormat="false" ht="21.75" hidden="false" customHeight="true" outlineLevel="0" collapsed="false">
      <c r="A13" s="5" t="s">
        <v>108</v>
      </c>
      <c r="B13" s="5"/>
      <c r="C13" s="5"/>
      <c r="D13" s="5"/>
      <c r="E13" s="5"/>
      <c r="F13" s="5"/>
      <c r="G13" s="5"/>
      <c r="H13" s="5"/>
      <c r="I13" s="5"/>
    </row>
    <row r="14" customFormat="false" ht="24" hidden="false" customHeight="true" outlineLevel="0" collapsed="false">
      <c r="A14" s="12" t="s">
        <v>109</v>
      </c>
      <c r="B14" s="12"/>
      <c r="C14" s="12" t="s">
        <v>110</v>
      </c>
      <c r="D14" s="12"/>
      <c r="E14" s="12" t="s">
        <v>111</v>
      </c>
      <c r="F14" s="12" t="s">
        <v>112</v>
      </c>
      <c r="G14" s="12"/>
      <c r="H14" s="12" t="s">
        <v>113</v>
      </c>
      <c r="I14" s="12"/>
    </row>
    <row r="15" customFormat="false" ht="21" hidden="false" customHeight="true" outlineLevel="0" collapsed="false">
      <c r="A15" s="49" t="s">
        <v>114</v>
      </c>
      <c r="B15" s="49"/>
      <c r="C15" s="50" t="n">
        <f aca="false">'تفکیک شهریه و هزینه ها'!C32</f>
        <v>0</v>
      </c>
      <c r="D15" s="50"/>
      <c r="E15" s="51" t="n">
        <f aca="false">'تفکیک شهریه و هزینه ها'!E32</f>
        <v>0</v>
      </c>
      <c r="F15" s="50" t="n">
        <f aca="false">'تفکیک شهریه و هزینه ها'!F32</f>
        <v>0</v>
      </c>
      <c r="G15" s="50"/>
      <c r="H15" s="52" t="s">
        <v>115</v>
      </c>
      <c r="I15" s="52"/>
    </row>
    <row r="16" customFormat="false" ht="21" hidden="false" customHeight="true" outlineLevel="0" collapsed="false">
      <c r="A16" s="53" t="s">
        <v>116</v>
      </c>
      <c r="B16" s="53"/>
      <c r="C16" s="54" t="s">
        <v>117</v>
      </c>
      <c r="D16" s="54"/>
      <c r="E16" s="54" t="s">
        <v>117</v>
      </c>
      <c r="F16" s="50" t="n">
        <f aca="false">'تفکیک شهریه و هزینه ها'!F33</f>
        <v>0</v>
      </c>
      <c r="G16" s="50"/>
      <c r="H16" s="55" t="s">
        <v>118</v>
      </c>
      <c r="I16" s="55"/>
    </row>
    <row r="17" customFormat="false" ht="21" hidden="false" customHeight="true" outlineLevel="0" collapsed="false">
      <c r="A17" s="49" t="s">
        <v>119</v>
      </c>
      <c r="B17" s="49"/>
      <c r="C17" s="56" t="s">
        <v>117</v>
      </c>
      <c r="D17" s="56"/>
      <c r="E17" s="56" t="s">
        <v>117</v>
      </c>
      <c r="F17" s="50" t="n">
        <f aca="false">'تفکیک شهریه و هزینه ها'!F34</f>
        <v>0</v>
      </c>
      <c r="G17" s="50"/>
      <c r="H17" s="52" t="s">
        <v>120</v>
      </c>
      <c r="I17" s="52"/>
    </row>
    <row r="18" customFormat="false" ht="21" hidden="false" customHeight="true" outlineLevel="0" collapsed="false">
      <c r="A18" s="57" t="s">
        <v>121</v>
      </c>
      <c r="B18" s="57"/>
      <c r="C18" s="58" t="s">
        <v>117</v>
      </c>
      <c r="D18" s="58"/>
      <c r="E18" s="58" t="s">
        <v>117</v>
      </c>
      <c r="F18" s="59" t="n">
        <f aca="false">'تفکیک شهریه و هزینه ها'!F35</f>
        <v>0</v>
      </c>
      <c r="G18" s="59"/>
      <c r="H18" s="60" t="s">
        <v>122</v>
      </c>
      <c r="I18" s="60"/>
    </row>
    <row r="19" customFormat="false" ht="21" hidden="false" customHeight="true" outlineLevel="0" collapsed="false">
      <c r="A19" s="49" t="s">
        <v>123</v>
      </c>
      <c r="B19" s="49"/>
      <c r="C19" s="56" t="s">
        <v>117</v>
      </c>
      <c r="D19" s="56"/>
      <c r="E19" s="56" t="s">
        <v>117</v>
      </c>
      <c r="F19" s="61" t="n">
        <f aca="false">E45</f>
        <v>0</v>
      </c>
      <c r="G19" s="61"/>
      <c r="H19" s="52" t="s">
        <v>124</v>
      </c>
      <c r="I19" s="52"/>
    </row>
    <row r="20" customFormat="false" ht="21" hidden="false" customHeight="true" outlineLevel="0" collapsed="false">
      <c r="A20" s="53" t="s">
        <v>125</v>
      </c>
      <c r="B20" s="53"/>
      <c r="C20" s="54" t="s">
        <v>117</v>
      </c>
      <c r="D20" s="54"/>
      <c r="E20" s="54" t="s">
        <v>117</v>
      </c>
      <c r="F20" s="50" t="n">
        <f aca="false">'تفکیک شهریه و هزینه ها'!F37</f>
        <v>0</v>
      </c>
      <c r="G20" s="50"/>
      <c r="H20" s="55" t="s">
        <v>126</v>
      </c>
      <c r="I20" s="55"/>
    </row>
    <row r="21" customFormat="false" ht="21" hidden="false" customHeight="true" outlineLevel="0" collapsed="false">
      <c r="A21" s="57" t="s">
        <v>127</v>
      </c>
      <c r="B21" s="57"/>
      <c r="C21" s="58" t="s">
        <v>117</v>
      </c>
      <c r="D21" s="58"/>
      <c r="E21" s="58" t="s">
        <v>117</v>
      </c>
      <c r="F21" s="59" t="n">
        <f aca="false">'تفکیک شهریه و هزینه ها'!F38</f>
        <v>0</v>
      </c>
      <c r="G21" s="59"/>
      <c r="H21" s="60" t="s">
        <v>128</v>
      </c>
      <c r="I21" s="60"/>
    </row>
    <row r="22" customFormat="false" ht="6" hidden="false" customHeight="true" outlineLevel="0" collapsed="false"/>
    <row r="23" customFormat="false" ht="21.75" hidden="false" customHeight="true" outlineLevel="0" collapsed="false">
      <c r="A23" s="5" t="s">
        <v>129</v>
      </c>
      <c r="B23" s="5"/>
      <c r="C23" s="5"/>
      <c r="D23" s="5"/>
      <c r="E23" s="5"/>
      <c r="F23" s="5"/>
      <c r="G23" s="5"/>
      <c r="H23" s="5"/>
      <c r="I23" s="5"/>
    </row>
    <row r="24" customFormat="false" ht="30" hidden="false" customHeight="true" outlineLevel="0" collapsed="false">
      <c r="A24" s="62"/>
      <c r="B24" s="62"/>
      <c r="C24" s="62"/>
      <c r="D24" s="62"/>
      <c r="E24" s="62"/>
      <c r="F24" s="62"/>
      <c r="G24" s="62"/>
      <c r="H24" s="62"/>
      <c r="I24" s="62"/>
    </row>
    <row r="25" customFormat="false" ht="24" hidden="false" customHeight="true" outlineLevel="0" collapsed="false">
      <c r="A25" s="12" t="s">
        <v>81</v>
      </c>
      <c r="B25" s="12" t="s">
        <v>130</v>
      </c>
      <c r="C25" s="12"/>
      <c r="D25" s="12" t="s">
        <v>103</v>
      </c>
      <c r="E25" s="12" t="s">
        <v>131</v>
      </c>
      <c r="F25" s="12"/>
      <c r="G25" s="12" t="s">
        <v>132</v>
      </c>
      <c r="H25" s="12"/>
      <c r="I25" s="12" t="s">
        <v>133</v>
      </c>
    </row>
    <row r="26" customFormat="false" ht="19.5" hidden="false" customHeight="true" outlineLevel="0" collapsed="false">
      <c r="A26" s="13" t="n">
        <v>1</v>
      </c>
      <c r="B26" s="10"/>
      <c r="C26" s="10"/>
      <c r="D26" s="11"/>
      <c r="E26" s="33"/>
      <c r="F26" s="33"/>
      <c r="G26" s="33"/>
      <c r="H26" s="33"/>
      <c r="I26" s="63" t="str">
        <f aca="false">IF(AND(E26="",G26=""),"",E26-G26)</f>
        <v/>
      </c>
    </row>
    <row r="27" customFormat="false" ht="19.5" hidden="false" customHeight="true" outlineLevel="0" collapsed="false">
      <c r="A27" s="18" t="n">
        <v>2</v>
      </c>
      <c r="B27" s="10"/>
      <c r="C27" s="10"/>
      <c r="D27" s="11"/>
      <c r="E27" s="33"/>
      <c r="F27" s="33"/>
      <c r="G27" s="33"/>
      <c r="H27" s="33"/>
      <c r="I27" s="64" t="str">
        <f aca="false">IF(AND(E27="",G27=""),"",E27-G27)</f>
        <v/>
      </c>
    </row>
    <row r="28" customFormat="false" ht="19.5" hidden="false" customHeight="true" outlineLevel="0" collapsed="false">
      <c r="A28" s="13" t="n">
        <v>3</v>
      </c>
      <c r="B28" s="10"/>
      <c r="C28" s="10"/>
      <c r="D28" s="11"/>
      <c r="E28" s="33"/>
      <c r="F28" s="33"/>
      <c r="G28" s="33"/>
      <c r="H28" s="33"/>
      <c r="I28" s="63" t="str">
        <f aca="false">IF(AND(E28="",G28=""),"",E28-G28)</f>
        <v/>
      </c>
    </row>
    <row r="29" customFormat="false" ht="19.5" hidden="false" customHeight="true" outlineLevel="0" collapsed="false">
      <c r="A29" s="18" t="n">
        <v>4</v>
      </c>
      <c r="B29" s="10"/>
      <c r="C29" s="10"/>
      <c r="D29" s="11"/>
      <c r="E29" s="33"/>
      <c r="F29" s="33"/>
      <c r="G29" s="33"/>
      <c r="H29" s="33"/>
      <c r="I29" s="64" t="str">
        <f aca="false">IF(AND(E29="",G29=""),"",E29-G29)</f>
        <v/>
      </c>
    </row>
    <row r="30" customFormat="false" ht="19.5" hidden="false" customHeight="true" outlineLevel="0" collapsed="false">
      <c r="A30" s="13" t="n">
        <v>5</v>
      </c>
      <c r="B30" s="10"/>
      <c r="C30" s="10"/>
      <c r="D30" s="11"/>
      <c r="E30" s="33"/>
      <c r="F30" s="33"/>
      <c r="G30" s="33"/>
      <c r="H30" s="33"/>
      <c r="I30" s="63" t="str">
        <f aca="false">IF(AND(E30="",G30=""),"",E30-G30)</f>
        <v/>
      </c>
    </row>
    <row r="31" customFormat="false" ht="19.5" hidden="false" customHeight="true" outlineLevel="0" collapsed="false">
      <c r="A31" s="18" t="n">
        <v>6</v>
      </c>
      <c r="B31" s="10"/>
      <c r="C31" s="10"/>
      <c r="D31" s="11"/>
      <c r="E31" s="33"/>
      <c r="F31" s="33"/>
      <c r="G31" s="33"/>
      <c r="H31" s="33"/>
      <c r="I31" s="64" t="str">
        <f aca="false">IF(AND(E31="",G31=""),"",E31-G31)</f>
        <v/>
      </c>
    </row>
    <row r="32" customFormat="false" ht="22.5" hidden="false" customHeight="true" outlineLevel="0" collapsed="false">
      <c r="A32" s="35" t="s">
        <v>134</v>
      </c>
      <c r="B32" s="35"/>
      <c r="C32" s="35"/>
      <c r="D32" s="35"/>
      <c r="E32" s="36" t="n">
        <f aca="false">SUM(E26:E31)</f>
        <v>0</v>
      </c>
      <c r="F32" s="36"/>
      <c r="G32" s="36" t="n">
        <f aca="false">SUM(G26:G31)</f>
        <v>0</v>
      </c>
      <c r="H32" s="36"/>
      <c r="I32" s="36" t="n">
        <f aca="false">E32-G32</f>
        <v>0</v>
      </c>
    </row>
    <row r="33" customFormat="false" ht="6" hidden="false" customHeight="true" outlineLevel="0" collapsed="false"/>
    <row r="34" customFormat="false" ht="21.75" hidden="false" customHeight="true" outlineLevel="0" collapsed="false">
      <c r="A34" s="5" t="s">
        <v>135</v>
      </c>
      <c r="B34" s="5"/>
      <c r="C34" s="5"/>
      <c r="D34" s="5"/>
      <c r="E34" s="5"/>
      <c r="F34" s="5"/>
      <c r="G34" s="5"/>
      <c r="H34" s="5"/>
      <c r="I34" s="5"/>
    </row>
    <row r="35" customFormat="false" ht="24" hidden="false" customHeight="true" outlineLevel="0" collapsed="false">
      <c r="A35" s="12" t="s">
        <v>81</v>
      </c>
      <c r="B35" s="12" t="s">
        <v>136</v>
      </c>
      <c r="C35" s="12"/>
      <c r="D35" s="12" t="s">
        <v>137</v>
      </c>
      <c r="E35" s="12" t="s">
        <v>86</v>
      </c>
      <c r="F35" s="12"/>
      <c r="G35" s="12" t="s">
        <v>138</v>
      </c>
      <c r="H35" s="12" t="s">
        <v>139</v>
      </c>
      <c r="I35" s="12"/>
    </row>
    <row r="36" customFormat="false" ht="24" hidden="false" customHeight="true" outlineLevel="0" collapsed="false">
      <c r="A36" s="13" t="n">
        <v>1</v>
      </c>
      <c r="B36" s="65" t="s">
        <v>140</v>
      </c>
      <c r="C36" s="65"/>
      <c r="D36" s="66" t="n">
        <f aca="false">$E$8</f>
        <v>0</v>
      </c>
      <c r="E36" s="50" t="n">
        <f aca="false">G32</f>
        <v>0</v>
      </c>
      <c r="F36" s="50"/>
      <c r="G36" s="67" t="n">
        <f aca="false">IF($E$45=0,0,E36/$E$45)</f>
        <v>0</v>
      </c>
      <c r="H36" s="8" t="str">
        <f aca="false">"شهریهٔ برج "&amp;$B$10&amp;" سال "&amp;$E$10</f>
        <v>شهریهٔ برج  سال </v>
      </c>
      <c r="I36" s="8"/>
    </row>
    <row r="37" customFormat="false" ht="24" hidden="false" customHeight="true" outlineLevel="0" collapsed="false">
      <c r="A37" s="18" t="n">
        <v>2</v>
      </c>
      <c r="B37" s="68" t="s">
        <v>141</v>
      </c>
      <c r="C37" s="68"/>
      <c r="D37" s="66" t="n">
        <f aca="false">$E$8</f>
        <v>0</v>
      </c>
      <c r="E37" s="50" t="n">
        <f aca="false">حقوق!$F$33</f>
        <v>0</v>
      </c>
      <c r="F37" s="50"/>
      <c r="G37" s="69" t="n">
        <f aca="false">IF($E$45=0,0,E37/$E$45)</f>
        <v>0</v>
      </c>
      <c r="H37" s="70" t="str">
        <f aca="false">"مجموع جدول معاشات برج "&amp;$B$10</f>
        <v>مجموع جدول معاشات برج </v>
      </c>
      <c r="I37" s="70"/>
    </row>
    <row r="38" customFormat="false" ht="24" hidden="false" customHeight="true" outlineLevel="0" collapsed="false">
      <c r="A38" s="13" t="n">
        <v>3</v>
      </c>
      <c r="B38" s="65" t="s">
        <v>142</v>
      </c>
      <c r="C38" s="65"/>
      <c r="D38" s="66" t="n">
        <f aca="false">$E$8</f>
        <v>0</v>
      </c>
      <c r="E38" s="33"/>
      <c r="F38" s="33"/>
      <c r="G38" s="67" t="n">
        <f aca="false">IF($E$45=0,0,E38/$E$45)</f>
        <v>0</v>
      </c>
      <c r="H38" s="16"/>
      <c r="I38" s="16"/>
    </row>
    <row r="39" customFormat="false" ht="24" hidden="false" customHeight="true" outlineLevel="0" collapsed="false">
      <c r="A39" s="18" t="n">
        <v>4</v>
      </c>
      <c r="B39" s="68" t="s">
        <v>143</v>
      </c>
      <c r="C39" s="68"/>
      <c r="D39" s="66" t="n">
        <f aca="false">$E$8</f>
        <v>0</v>
      </c>
      <c r="E39" s="33"/>
      <c r="F39" s="33"/>
      <c r="G39" s="69" t="n">
        <f aca="false">IF($E$45=0,0,E39/$E$45)</f>
        <v>0</v>
      </c>
      <c r="H39" s="21"/>
      <c r="I39" s="21"/>
    </row>
    <row r="40" customFormat="false" ht="24" hidden="false" customHeight="true" outlineLevel="0" collapsed="false">
      <c r="A40" s="13" t="n">
        <v>5</v>
      </c>
      <c r="B40" s="65" t="s">
        <v>144</v>
      </c>
      <c r="C40" s="65"/>
      <c r="D40" s="66" t="n">
        <f aca="false">$E$8</f>
        <v>0</v>
      </c>
      <c r="E40" s="33"/>
      <c r="F40" s="33"/>
      <c r="G40" s="67" t="n">
        <f aca="false">IF($E$45=0,0,E40/$E$45)</f>
        <v>0</v>
      </c>
      <c r="H40" s="16"/>
      <c r="I40" s="16"/>
    </row>
    <row r="41" customFormat="false" ht="24" hidden="false" customHeight="true" outlineLevel="0" collapsed="false">
      <c r="A41" s="18" t="n">
        <v>6</v>
      </c>
      <c r="B41" s="68" t="s">
        <v>145</v>
      </c>
      <c r="C41" s="68"/>
      <c r="D41" s="66" t="n">
        <f aca="false">$E$8</f>
        <v>0</v>
      </c>
      <c r="E41" s="33"/>
      <c r="F41" s="33"/>
      <c r="G41" s="69" t="n">
        <f aca="false">IF($E$45=0,0,E41/$E$45)</f>
        <v>0</v>
      </c>
      <c r="H41" s="21"/>
      <c r="I41" s="21"/>
    </row>
    <row r="42" customFormat="false" ht="24" hidden="false" customHeight="true" outlineLevel="0" collapsed="false">
      <c r="A42" s="13" t="n">
        <v>7</v>
      </c>
      <c r="B42" s="65" t="s">
        <v>146</v>
      </c>
      <c r="C42" s="65"/>
      <c r="D42" s="66" t="n">
        <f aca="false">$E$8</f>
        <v>0</v>
      </c>
      <c r="E42" s="33"/>
      <c r="F42" s="33"/>
      <c r="G42" s="67" t="n">
        <f aca="false">IF($E$45=0,0,E42/$E$45)</f>
        <v>0</v>
      </c>
      <c r="H42" s="16"/>
      <c r="I42" s="16"/>
    </row>
    <row r="43" customFormat="false" ht="24" hidden="false" customHeight="true" outlineLevel="0" collapsed="false">
      <c r="A43" s="18" t="n">
        <v>8</v>
      </c>
      <c r="B43" s="68"/>
      <c r="C43" s="68"/>
      <c r="D43" s="66" t="n">
        <f aca="false">$E$8</f>
        <v>0</v>
      </c>
      <c r="E43" s="33"/>
      <c r="F43" s="33"/>
      <c r="G43" s="69" t="n">
        <f aca="false">IF($E$45=0,0,E43/$E$45)</f>
        <v>0</v>
      </c>
      <c r="H43" s="21"/>
      <c r="I43" s="21"/>
    </row>
    <row r="44" customFormat="false" ht="24" hidden="false" customHeight="true" outlineLevel="0" collapsed="false">
      <c r="A44" s="13" t="n">
        <v>9</v>
      </c>
      <c r="B44" s="65"/>
      <c r="C44" s="65"/>
      <c r="D44" s="66" t="n">
        <f aca="false">$E$8</f>
        <v>0</v>
      </c>
      <c r="E44" s="33"/>
      <c r="F44" s="33"/>
      <c r="G44" s="67" t="n">
        <f aca="false">IF($E$45=0,0,E44/$E$45)</f>
        <v>0</v>
      </c>
      <c r="H44" s="16"/>
      <c r="I44" s="16"/>
    </row>
    <row r="45" customFormat="false" ht="25.5" hidden="false" customHeight="true" outlineLevel="0" collapsed="false">
      <c r="A45" s="71" t="s">
        <v>147</v>
      </c>
      <c r="B45" s="71"/>
      <c r="C45" s="71"/>
      <c r="D45" s="71"/>
      <c r="E45" s="72" t="n">
        <f aca="false">SUM(E36:E44)</f>
        <v>0</v>
      </c>
      <c r="F45" s="72"/>
      <c r="G45" s="73" t="n">
        <f aca="false">IF($E$45=0,0,1)</f>
        <v>0</v>
      </c>
      <c r="H45" s="74"/>
      <c r="I45" s="74"/>
    </row>
    <row r="46" customFormat="false" ht="6" hidden="false" customHeight="true" outlineLevel="0" collapsed="false"/>
    <row r="47" customFormat="false" ht="21.75" hidden="false" customHeight="true" outlineLevel="0" collapsed="false">
      <c r="A47" s="5" t="s">
        <v>148</v>
      </c>
      <c r="B47" s="5"/>
      <c r="C47" s="5"/>
      <c r="D47" s="5"/>
      <c r="E47" s="5"/>
      <c r="F47" s="5"/>
      <c r="G47" s="5"/>
      <c r="H47" s="5"/>
      <c r="I47" s="5"/>
    </row>
    <row r="48" customFormat="false" ht="19.5" hidden="false" customHeight="true" outlineLevel="0" collapsed="false">
      <c r="A48" s="49" t="s">
        <v>149</v>
      </c>
      <c r="B48" s="49"/>
      <c r="C48" s="25" t="str">
        <f aca="false">IF(ROUND(F18-F19-F21+F20,0)=0,"مطابقت دارد","اختلاف: "&amp;TEXT(F18-F19-F21+F20,"#,##0;(#,##0)"))</f>
        <v>مطابقت دارد</v>
      </c>
      <c r="D48" s="25"/>
      <c r="E48" s="52" t="s">
        <v>150</v>
      </c>
      <c r="F48" s="52"/>
      <c r="G48" s="52"/>
      <c r="H48" s="52"/>
      <c r="I48" s="52"/>
    </row>
    <row r="49" customFormat="false" ht="19.5" hidden="false" customHeight="true" outlineLevel="0" collapsed="false">
      <c r="A49" s="53" t="s">
        <v>151</v>
      </c>
      <c r="B49" s="53"/>
      <c r="C49" s="25" t="str">
        <f aca="false">IF(ROUND(E36-G32,0)=0,"مطابقت دارد","اختلاف: "&amp;TEXT(E36-G32,"#,##0;(#,##0)"))</f>
        <v>مطابقت دارد</v>
      </c>
      <c r="D49" s="25"/>
      <c r="E49" s="55" t="s">
        <v>152</v>
      </c>
      <c r="F49" s="55"/>
      <c r="G49" s="55"/>
      <c r="H49" s="55"/>
      <c r="I49" s="55"/>
    </row>
    <row r="50" customFormat="false" ht="19.5" hidden="false" customHeight="true" outlineLevel="0" collapsed="false">
      <c r="A50" s="49" t="s">
        <v>153</v>
      </c>
      <c r="B50" s="49"/>
      <c r="C50" s="25" t="str">
        <f aca="false">IF(ROUND(E37-حقوق!$F$33,0)=0,"مطابقت دارد","اختلاف: "&amp;TEXT(E37-حقوق!$F$33,"#,##0;(#,##0)"))</f>
        <v>مطابقت دارد</v>
      </c>
      <c r="D50" s="25"/>
      <c r="E50" s="52" t="s">
        <v>154</v>
      </c>
      <c r="F50" s="52"/>
      <c r="G50" s="52"/>
      <c r="H50" s="52"/>
      <c r="I50" s="52"/>
    </row>
    <row r="51" customFormat="false" ht="19.5" hidden="false" customHeight="true" outlineLevel="0" collapsed="false">
      <c r="A51" s="53" t="s">
        <v>155</v>
      </c>
      <c r="B51" s="53"/>
      <c r="C51" s="25" t="str">
        <f aca="false">IF(ROUND(F19-'تفکیک شهریه و هزینه ها'!F36,0)=0,"مطابقت دارد","اختلاف: "&amp;TEXT(F19-'تفکیک شهریه و هزینه ها'!F36,"#,##0;(#,##0)"))</f>
        <v>مطابقت دارد</v>
      </c>
      <c r="D51" s="25"/>
      <c r="E51" s="55" t="s">
        <v>156</v>
      </c>
      <c r="F51" s="55"/>
      <c r="G51" s="55"/>
      <c r="H51" s="55"/>
      <c r="I51" s="55"/>
    </row>
    <row r="52" customFormat="false" ht="19.5" hidden="false" customHeight="true" outlineLevel="0" collapsed="false">
      <c r="A52" s="49" t="s">
        <v>157</v>
      </c>
      <c r="B52" s="49"/>
      <c r="C52" s="25" t="str">
        <f aca="false">IF(ROUND(E32-'تفکیک شهریه و هزینه ها'!F12,0)=0,"مطابقت دارد","اختلاف: "&amp;TEXT(E32-'تفکیک شهریه و هزینه ها'!F12,"#,##0;(#,##0)"))</f>
        <v>مطابقت دارد</v>
      </c>
      <c r="D52" s="25"/>
      <c r="E52" s="52" t="s">
        <v>158</v>
      </c>
      <c r="F52" s="52"/>
      <c r="G52" s="52"/>
      <c r="H52" s="52"/>
      <c r="I52" s="52"/>
    </row>
    <row r="54" customFormat="false" ht="19.5" hidden="false" customHeight="true" outlineLevel="0" collapsed="false">
      <c r="A54" s="75" t="s">
        <v>159</v>
      </c>
      <c r="B54" s="75"/>
      <c r="C54" s="75"/>
      <c r="D54" s="75" t="s">
        <v>160</v>
      </c>
      <c r="E54" s="75"/>
      <c r="F54" s="75"/>
      <c r="G54" s="75" t="s">
        <v>161</v>
      </c>
      <c r="H54" s="75"/>
      <c r="I54" s="75"/>
    </row>
    <row r="55" customFormat="false" ht="45.75" hidden="false" customHeight="true" outlineLevel="0" collapsed="false">
      <c r="A55" s="76"/>
      <c r="B55" s="76"/>
      <c r="C55" s="76"/>
      <c r="D55" s="76"/>
      <c r="E55" s="76"/>
      <c r="F55" s="76"/>
      <c r="G55" s="76"/>
      <c r="H55" s="76"/>
      <c r="I55" s="76"/>
    </row>
    <row r="57" customFormat="false" ht="18" hidden="false" customHeight="true" outlineLevel="0" collapsed="false">
      <c r="A57" s="27" t="s">
        <v>74</v>
      </c>
      <c r="B57" s="27"/>
      <c r="C57" s="27"/>
      <c r="D57" s="27"/>
      <c r="E57" s="27"/>
      <c r="F57" s="27"/>
      <c r="G57" s="27"/>
      <c r="H57" s="27"/>
      <c r="I57" s="27"/>
    </row>
    <row r="58" customFormat="false" ht="15" hidden="false" customHeight="true" outlineLevel="0" collapsed="false">
      <c r="A58" s="28" t="s">
        <v>75</v>
      </c>
      <c r="B58" s="28"/>
      <c r="C58" s="28"/>
      <c r="D58" s="28"/>
      <c r="E58" s="28"/>
      <c r="F58" s="28"/>
      <c r="G58" s="28"/>
      <c r="H58" s="28"/>
      <c r="I58" s="28"/>
    </row>
    <row r="59" customFormat="false" ht="15" hidden="false" customHeight="true" outlineLevel="0" collapsed="false">
      <c r="A59" s="28" t="s">
        <v>76</v>
      </c>
      <c r="B59" s="28"/>
      <c r="C59" s="28"/>
      <c r="D59" s="28"/>
      <c r="E59" s="28"/>
      <c r="F59" s="28"/>
      <c r="G59" s="28"/>
      <c r="H59" s="28"/>
      <c r="I59" s="28"/>
    </row>
    <row r="60" customFormat="false" ht="15" hidden="false" customHeight="true" outlineLevel="0" collapsed="false">
      <c r="A60" s="28" t="s">
        <v>77</v>
      </c>
      <c r="B60" s="28"/>
      <c r="C60" s="28"/>
      <c r="D60" s="28"/>
      <c r="E60" s="28"/>
      <c r="F60" s="28"/>
      <c r="G60" s="28"/>
      <c r="H60" s="28"/>
      <c r="I60" s="28"/>
    </row>
    <row r="61" customFormat="false" ht="15" hidden="false" customHeight="true" outlineLevel="0" collapsed="false">
      <c r="A61" s="28" t="s">
        <v>78</v>
      </c>
      <c r="B61" s="28"/>
      <c r="C61" s="28"/>
      <c r="D61" s="28"/>
      <c r="E61" s="28"/>
      <c r="F61" s="28"/>
      <c r="G61" s="28"/>
      <c r="H61" s="28"/>
      <c r="I61" s="28"/>
    </row>
    <row r="62" customFormat="false" ht="15" hidden="false" customHeight="true" outlineLevel="0" collapsed="false">
      <c r="A62" s="28" t="s">
        <v>79</v>
      </c>
      <c r="B62" s="28"/>
      <c r="C62" s="28"/>
      <c r="D62" s="28"/>
      <c r="E62" s="28"/>
      <c r="F62" s="28"/>
      <c r="G62" s="28"/>
      <c r="H62" s="28"/>
      <c r="I62" s="28"/>
    </row>
    <row r="63" customFormat="false" ht="15" hidden="false" customHeight="true" outlineLevel="0" collapsed="false">
      <c r="A63" s="28" t="s">
        <v>162</v>
      </c>
      <c r="B63" s="28"/>
      <c r="C63" s="28"/>
      <c r="D63" s="28"/>
      <c r="E63" s="28"/>
      <c r="F63" s="28"/>
      <c r="G63" s="28"/>
      <c r="H63" s="28"/>
      <c r="I63" s="28"/>
    </row>
  </sheetData>
  <mergeCells count="141">
    <mergeCell ref="A1:I1"/>
    <mergeCell ref="A2:I2"/>
    <mergeCell ref="A3:I3"/>
    <mergeCell ref="A4:I4"/>
    <mergeCell ref="A5:B5"/>
    <mergeCell ref="G5:I5"/>
    <mergeCell ref="A7:I7"/>
    <mergeCell ref="B8:C8"/>
    <mergeCell ref="E8:F8"/>
    <mergeCell ref="H8:I8"/>
    <mergeCell ref="B9:C9"/>
    <mergeCell ref="E9:F9"/>
    <mergeCell ref="H9:I9"/>
    <mergeCell ref="B10:C10"/>
    <mergeCell ref="E10:F10"/>
    <mergeCell ref="H10:I10"/>
    <mergeCell ref="B11:C11"/>
    <mergeCell ref="E11:F11"/>
    <mergeCell ref="H11:I11"/>
    <mergeCell ref="A13:I13"/>
    <mergeCell ref="A14:B14"/>
    <mergeCell ref="C14:D14"/>
    <mergeCell ref="F14:G14"/>
    <mergeCell ref="H14:I14"/>
    <mergeCell ref="A15:B15"/>
    <mergeCell ref="C15:D15"/>
    <mergeCell ref="F15:G15"/>
    <mergeCell ref="H15:I15"/>
    <mergeCell ref="A16:B16"/>
    <mergeCell ref="C16:D16"/>
    <mergeCell ref="F16:G16"/>
    <mergeCell ref="H16:I16"/>
    <mergeCell ref="A17:B17"/>
    <mergeCell ref="C17:D17"/>
    <mergeCell ref="F17:G17"/>
    <mergeCell ref="H17:I17"/>
    <mergeCell ref="A18:B18"/>
    <mergeCell ref="C18:D18"/>
    <mergeCell ref="F18:G18"/>
    <mergeCell ref="H18:I18"/>
    <mergeCell ref="A19:B19"/>
    <mergeCell ref="C19:D19"/>
    <mergeCell ref="F19:G19"/>
    <mergeCell ref="H19:I19"/>
    <mergeCell ref="A20:B20"/>
    <mergeCell ref="C20:D20"/>
    <mergeCell ref="F20:G20"/>
    <mergeCell ref="H20:I20"/>
    <mergeCell ref="A21:B21"/>
    <mergeCell ref="C21:D21"/>
    <mergeCell ref="F21:G21"/>
    <mergeCell ref="H21:I21"/>
    <mergeCell ref="A23:I23"/>
    <mergeCell ref="A24:I24"/>
    <mergeCell ref="B25:C25"/>
    <mergeCell ref="E25:F25"/>
    <mergeCell ref="G25:H25"/>
    <mergeCell ref="B26:C26"/>
    <mergeCell ref="E26:F26"/>
    <mergeCell ref="G26:H26"/>
    <mergeCell ref="B27:C27"/>
    <mergeCell ref="E27:F27"/>
    <mergeCell ref="G27:H27"/>
    <mergeCell ref="B28:C28"/>
    <mergeCell ref="E28:F28"/>
    <mergeCell ref="G28:H28"/>
    <mergeCell ref="B29:C29"/>
    <mergeCell ref="E29:F29"/>
    <mergeCell ref="G29:H29"/>
    <mergeCell ref="B30:C30"/>
    <mergeCell ref="E30:F30"/>
    <mergeCell ref="G30:H30"/>
    <mergeCell ref="B31:C31"/>
    <mergeCell ref="E31:F31"/>
    <mergeCell ref="G31:H31"/>
    <mergeCell ref="A32:D32"/>
    <mergeCell ref="E32:F32"/>
    <mergeCell ref="G32:H32"/>
    <mergeCell ref="A34:I34"/>
    <mergeCell ref="B35:C35"/>
    <mergeCell ref="E35:F35"/>
    <mergeCell ref="H35:I35"/>
    <mergeCell ref="B36:C36"/>
    <mergeCell ref="E36:F36"/>
    <mergeCell ref="H36:I36"/>
    <mergeCell ref="B37:C37"/>
    <mergeCell ref="E37:F37"/>
    <mergeCell ref="H37:I37"/>
    <mergeCell ref="B38:C38"/>
    <mergeCell ref="E38:F38"/>
    <mergeCell ref="H38:I38"/>
    <mergeCell ref="B39:C39"/>
    <mergeCell ref="E39:F39"/>
    <mergeCell ref="H39:I39"/>
    <mergeCell ref="B40:C40"/>
    <mergeCell ref="E40:F40"/>
    <mergeCell ref="H40:I40"/>
    <mergeCell ref="B41:C41"/>
    <mergeCell ref="E41:F41"/>
    <mergeCell ref="H41:I41"/>
    <mergeCell ref="B42:C42"/>
    <mergeCell ref="E42:F42"/>
    <mergeCell ref="H42:I42"/>
    <mergeCell ref="B43:C43"/>
    <mergeCell ref="E43:F43"/>
    <mergeCell ref="H43:I43"/>
    <mergeCell ref="B44:C44"/>
    <mergeCell ref="E44:F44"/>
    <mergeCell ref="H44:I44"/>
    <mergeCell ref="A45:D45"/>
    <mergeCell ref="E45:F45"/>
    <mergeCell ref="H45:I45"/>
    <mergeCell ref="A47:I47"/>
    <mergeCell ref="A48:B48"/>
    <mergeCell ref="C48:D48"/>
    <mergeCell ref="E48:I48"/>
    <mergeCell ref="A49:B49"/>
    <mergeCell ref="C49:D49"/>
    <mergeCell ref="E49:I49"/>
    <mergeCell ref="A50:B50"/>
    <mergeCell ref="C50:D50"/>
    <mergeCell ref="E50:I50"/>
    <mergeCell ref="A51:B51"/>
    <mergeCell ref="C51:D51"/>
    <mergeCell ref="E51:I51"/>
    <mergeCell ref="A52:B52"/>
    <mergeCell ref="C52:D52"/>
    <mergeCell ref="E52:I52"/>
    <mergeCell ref="A54:C54"/>
    <mergeCell ref="D54:F54"/>
    <mergeCell ref="G54:I54"/>
    <mergeCell ref="A55:C55"/>
    <mergeCell ref="D55:F55"/>
    <mergeCell ref="G55:I55"/>
    <mergeCell ref="A57:I57"/>
    <mergeCell ref="A58:I58"/>
    <mergeCell ref="A59:I59"/>
    <mergeCell ref="A60:I60"/>
    <mergeCell ref="A61:I61"/>
    <mergeCell ref="A62:I62"/>
    <mergeCell ref="A63:I63"/>
  </mergeCells>
  <dataValidations count="2">
    <dataValidation allowBlank="true" errorStyle="stop" operator="between" showDropDown="false" showErrorMessage="false" showInputMessage="false" sqref="B26:B31" type="list">
      <formula1>"حمل (01),ثور (02),جوزا (03),سرطان (04),اسد (05),سنبله (06),میزان (07),عقرب (08),قوس (09),جدی (10),دلو (11),حوت (12)"</formula1>
      <formula2>0</formula2>
    </dataValidation>
    <dataValidation allowBlank="true" errorStyle="stop" operator="between" showDropDown="false" showErrorMessage="false" showInputMessage="false" sqref="B10" type="list">
      <formula1>"حمل (01),ثور (02),جوزا (03),سرطان (04),اسد (05),سنبله (06),میزان (07),عقرب (08),قوس (09),جدی (10),دلو (11),حوت (12)"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I5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2"/>
    <col collapsed="false" customWidth="true" hidden="false" outlineLevel="0" max="4" min="4" style="1" width="20"/>
    <col collapsed="false" customWidth="true" hidden="false" outlineLevel="0" max="6" min="5" style="1" width="13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20"/>
  </cols>
  <sheetData>
    <row r="1" customFormat="false" ht="21.75" hidden="false" customHeight="true" outlineLevel="0" collapsed="false">
      <c r="A1" s="29" t="str">
        <f aca="false">'فهرست و راهنما'!$C$5</f>
        <v>مؤسسهٔ خیریه، فرهنگی و اجتماعی منجی موعود ( عج )</v>
      </c>
      <c r="B1" s="29"/>
      <c r="C1" s="29"/>
      <c r="D1" s="29"/>
      <c r="E1" s="29"/>
      <c r="F1" s="29"/>
      <c r="G1" s="29"/>
      <c r="H1" s="29"/>
      <c r="I1" s="29"/>
    </row>
    <row r="2" customFormat="false" ht="18" hidden="false" customHeight="true" outlineLevel="0" collapsed="false">
      <c r="A2" s="3" t="str">
        <f aca="false">'فهرست و راهنما'!$C$6</f>
        <v>تحت اشراف حاج آقای مصباح موسوی، نمایندهٔ مرجع عالیقدر شیعه حضرت آیت‌الله العظمی سیستانی ( دام ظله العالی )</v>
      </c>
      <c r="B2" s="3"/>
      <c r="C2" s="3"/>
      <c r="D2" s="3"/>
      <c r="E2" s="3"/>
      <c r="F2" s="3"/>
      <c r="G2" s="3"/>
      <c r="H2" s="3"/>
      <c r="I2" s="3"/>
    </row>
    <row r="3" customFormat="false" ht="30" hidden="false" customHeight="true" outlineLevel="0" collapsed="false">
      <c r="A3" s="30" t="str">
        <f aca="false">"جدول تفکیک شدهٔ شهریهٔ ایتام و هزینه ها   –   برج  "&amp;'صورت حساب کلی'!$B$10&amp;"    سال  "&amp;'صورت حساب کلی'!$E$10</f>
        <v>جدول تفکیک شدهٔ شهریهٔ ایتام و هزینه ها   –   برج      سال  </v>
      </c>
      <c r="B3" s="30"/>
      <c r="C3" s="30"/>
      <c r="D3" s="30"/>
      <c r="E3" s="30"/>
      <c r="F3" s="30"/>
      <c r="G3" s="30"/>
      <c r="H3" s="30"/>
      <c r="I3" s="30"/>
    </row>
    <row r="4" customFormat="false" ht="13.5" hidden="false" customHeight="true" outlineLevel="0" collapsed="false">
      <c r="A4" s="31" t="str">
        <f aca="false">"کود فورم:  FIN-03"</f>
        <v>کود فورم:  FIN-03</v>
      </c>
      <c r="B4" s="31"/>
      <c r="C4" s="31"/>
      <c r="D4" s="31"/>
      <c r="E4" s="31"/>
      <c r="F4" s="31"/>
      <c r="G4" s="31"/>
      <c r="H4" s="31"/>
      <c r="I4" s="31"/>
    </row>
    <row r="5" customFormat="false" ht="19.5" hidden="false" customHeight="true" outlineLevel="0" collapsed="false">
      <c r="A5" s="6" t="s">
        <v>84</v>
      </c>
      <c r="B5" s="6"/>
      <c r="C5" s="10"/>
      <c r="D5" s="6" t="s">
        <v>82</v>
      </c>
      <c r="E5" s="10"/>
      <c r="F5" s="6" t="s">
        <v>98</v>
      </c>
      <c r="G5" s="25" t="str">
        <f aca="false">IF('فهرست و راهنما'!$C$7="","",'فهرست و راهنما'!$C$7&amp;"  –  ")&amp;'فهرست و راهنما'!$C$8&amp;" / "&amp;'فهرست و راهنما'!$C$9</f>
        <v> / </v>
      </c>
      <c r="H5" s="25"/>
      <c r="I5" s="25"/>
    </row>
    <row r="6" customFormat="false" ht="6" hidden="false" customHeight="true" outlineLevel="0" collapsed="false"/>
    <row r="7" customFormat="false" ht="21.75" hidden="false" customHeight="true" outlineLevel="0" collapsed="false">
      <c r="A7" s="5" t="s">
        <v>163</v>
      </c>
      <c r="B7" s="5"/>
      <c r="C7" s="5"/>
      <c r="D7" s="5"/>
      <c r="E7" s="5"/>
      <c r="F7" s="5"/>
      <c r="G7" s="5"/>
      <c r="H7" s="5"/>
      <c r="I7" s="5"/>
    </row>
    <row r="8" customFormat="false" ht="19.5" hidden="false" customHeight="true" outlineLevel="0" collapsed="false">
      <c r="A8" s="6" t="s">
        <v>8</v>
      </c>
      <c r="B8" s="25" t="n">
        <f aca="false">'فهرست و راهنما'!$C$7</f>
        <v>0</v>
      </c>
      <c r="C8" s="25"/>
      <c r="D8" s="6" t="s">
        <v>137</v>
      </c>
      <c r="E8" s="25" t="str">
        <f aca="false">'فهرست و راهنما'!$C$8&amp;" / "&amp;'فهرست و راهنما'!$C$9</f>
        <v> / </v>
      </c>
      <c r="F8" s="25"/>
      <c r="G8" s="6" t="s">
        <v>12</v>
      </c>
      <c r="H8" s="25" t="str">
        <f aca="false">IF('فهرست و راهنما'!$C$10="","",'فهرست و راهنما'!$C$10)</f>
        <v/>
      </c>
      <c r="I8" s="25"/>
    </row>
    <row r="9" customFormat="false" ht="6" hidden="false" customHeight="true" outlineLevel="0" collapsed="false"/>
    <row r="10" customFormat="false" ht="21.75" hidden="false" customHeight="true" outlineLevel="0" collapsed="false">
      <c r="A10" s="5" t="s">
        <v>164</v>
      </c>
      <c r="B10" s="5"/>
      <c r="C10" s="5"/>
      <c r="D10" s="5"/>
      <c r="E10" s="5"/>
      <c r="F10" s="5"/>
      <c r="G10" s="5"/>
      <c r="H10" s="5"/>
      <c r="I10" s="5"/>
    </row>
    <row r="11" customFormat="false" ht="24" hidden="false" customHeight="true" outlineLevel="0" collapsed="false">
      <c r="A11" s="12" t="s">
        <v>109</v>
      </c>
      <c r="B11" s="12"/>
      <c r="C11" s="12" t="s">
        <v>110</v>
      </c>
      <c r="D11" s="12"/>
      <c r="E11" s="12" t="s">
        <v>111</v>
      </c>
      <c r="F11" s="12" t="s">
        <v>112</v>
      </c>
      <c r="G11" s="12"/>
      <c r="H11" s="12" t="s">
        <v>113</v>
      </c>
      <c r="I11" s="12"/>
    </row>
    <row r="12" customFormat="false" ht="21" hidden="false" customHeight="true" outlineLevel="0" collapsed="false">
      <c r="A12" s="49" t="s">
        <v>165</v>
      </c>
      <c r="B12" s="49"/>
      <c r="C12" s="33"/>
      <c r="D12" s="33"/>
      <c r="E12" s="77"/>
      <c r="F12" s="33"/>
      <c r="G12" s="33"/>
      <c r="H12" s="52" t="str">
        <f aca="false">IF(OR(C12="",E12="",F12=""),"—",IF(ROUND(C12*E12,0)=F12,"—","تفاوت تبادله: "&amp;TEXT(F12-ROUND(C12*E12,0),"#,##0;(#,##0)")))</f>
        <v>—</v>
      </c>
      <c r="I12" s="52"/>
    </row>
    <row r="13" customFormat="false" ht="21" hidden="false" customHeight="true" outlineLevel="0" collapsed="false">
      <c r="A13" s="53" t="s">
        <v>116</v>
      </c>
      <c r="B13" s="53"/>
      <c r="C13" s="78" t="s">
        <v>117</v>
      </c>
      <c r="D13" s="78"/>
      <c r="E13" s="79" t="s">
        <v>117</v>
      </c>
      <c r="F13" s="33"/>
      <c r="G13" s="33"/>
      <c r="H13" s="55"/>
      <c r="I13" s="55"/>
    </row>
    <row r="14" customFormat="false" ht="21" hidden="false" customHeight="true" outlineLevel="0" collapsed="false">
      <c r="A14" s="49" t="s">
        <v>119</v>
      </c>
      <c r="B14" s="49"/>
      <c r="C14" s="80" t="s">
        <v>117</v>
      </c>
      <c r="D14" s="80"/>
      <c r="E14" s="81" t="s">
        <v>117</v>
      </c>
      <c r="F14" s="33"/>
      <c r="G14" s="33"/>
      <c r="H14" s="52"/>
      <c r="I14" s="52"/>
    </row>
    <row r="15" customFormat="false" ht="21" hidden="false" customHeight="true" outlineLevel="0" collapsed="false">
      <c r="A15" s="57" t="s">
        <v>121</v>
      </c>
      <c r="B15" s="57"/>
      <c r="C15" s="82" t="s">
        <v>117</v>
      </c>
      <c r="D15" s="82"/>
      <c r="E15" s="83" t="s">
        <v>117</v>
      </c>
      <c r="F15" s="84" t="n">
        <f aca="false">F12+F13-F14</f>
        <v>0</v>
      </c>
      <c r="G15" s="84"/>
      <c r="H15" s="60" t="s">
        <v>122</v>
      </c>
      <c r="I15" s="60"/>
    </row>
    <row r="16" customFormat="false" ht="21" hidden="false" customHeight="true" outlineLevel="0" collapsed="false">
      <c r="A16" s="49" t="s">
        <v>166</v>
      </c>
      <c r="B16" s="49"/>
      <c r="C16" s="80" t="s">
        <v>117</v>
      </c>
      <c r="D16" s="80"/>
      <c r="E16" s="81" t="s">
        <v>117</v>
      </c>
      <c r="F16" s="50" t="n">
        <f aca="false">'صورت حساب کلی'!E36</f>
        <v>0</v>
      </c>
      <c r="G16" s="50"/>
      <c r="H16" s="52"/>
      <c r="I16" s="52"/>
    </row>
    <row r="17" customFormat="false" ht="21" hidden="false" customHeight="true" outlineLevel="0" collapsed="false">
      <c r="A17" s="53" t="s">
        <v>125</v>
      </c>
      <c r="B17" s="53"/>
      <c r="C17" s="78" t="s">
        <v>117</v>
      </c>
      <c r="D17" s="78"/>
      <c r="E17" s="79" t="s">
        <v>117</v>
      </c>
      <c r="F17" s="61" t="n">
        <f aca="false">MAX(0,F16-F15)</f>
        <v>0</v>
      </c>
      <c r="G17" s="61"/>
      <c r="H17" s="55" t="s">
        <v>126</v>
      </c>
      <c r="I17" s="55"/>
    </row>
    <row r="18" customFormat="false" ht="21" hidden="false" customHeight="true" outlineLevel="0" collapsed="false">
      <c r="A18" s="57" t="s">
        <v>127</v>
      </c>
      <c r="B18" s="57"/>
      <c r="C18" s="82" t="s">
        <v>117</v>
      </c>
      <c r="D18" s="82"/>
      <c r="E18" s="83" t="s">
        <v>117</v>
      </c>
      <c r="F18" s="84" t="n">
        <f aca="false">MAX(0,F15-F16)</f>
        <v>0</v>
      </c>
      <c r="G18" s="84"/>
      <c r="H18" s="60" t="s">
        <v>128</v>
      </c>
      <c r="I18" s="60"/>
    </row>
    <row r="19" customFormat="false" ht="6" hidden="false" customHeight="true" outlineLevel="0" collapsed="false"/>
    <row r="20" customFormat="false" ht="21.75" hidden="false" customHeight="true" outlineLevel="0" collapsed="false">
      <c r="A20" s="5" t="s">
        <v>167</v>
      </c>
      <c r="B20" s="5"/>
      <c r="C20" s="5"/>
      <c r="D20" s="5"/>
      <c r="E20" s="5"/>
      <c r="F20" s="5"/>
      <c r="G20" s="5"/>
      <c r="H20" s="5"/>
      <c r="I20" s="5"/>
    </row>
    <row r="21" customFormat="false" ht="24" hidden="false" customHeight="true" outlineLevel="0" collapsed="false">
      <c r="A21" s="12" t="s">
        <v>109</v>
      </c>
      <c r="B21" s="12"/>
      <c r="C21" s="12" t="s">
        <v>110</v>
      </c>
      <c r="D21" s="12"/>
      <c r="E21" s="12" t="s">
        <v>111</v>
      </c>
      <c r="F21" s="12" t="s">
        <v>112</v>
      </c>
      <c r="G21" s="12"/>
      <c r="H21" s="12" t="s">
        <v>113</v>
      </c>
      <c r="I21" s="12"/>
    </row>
    <row r="22" customFormat="false" ht="21" hidden="false" customHeight="true" outlineLevel="0" collapsed="false">
      <c r="A22" s="49" t="s">
        <v>168</v>
      </c>
      <c r="B22" s="49"/>
      <c r="C22" s="33"/>
      <c r="D22" s="33"/>
      <c r="E22" s="77"/>
      <c r="F22" s="33"/>
      <c r="G22" s="33"/>
      <c r="H22" s="52" t="str">
        <f aca="false">IF(OR(C22="",E22="",F22=""),"—",IF(ROUND(C22*E22,0)=F22,"—","تفاوت تبادله: "&amp;TEXT(F22-ROUND(C22*E22,0),"#,##0;(#,##0)")))</f>
        <v>—</v>
      </c>
      <c r="I22" s="52"/>
    </row>
    <row r="23" customFormat="false" ht="21" hidden="false" customHeight="true" outlineLevel="0" collapsed="false">
      <c r="A23" s="53" t="s">
        <v>116</v>
      </c>
      <c r="B23" s="53"/>
      <c r="C23" s="78" t="s">
        <v>117</v>
      </c>
      <c r="D23" s="78"/>
      <c r="E23" s="79" t="s">
        <v>117</v>
      </c>
      <c r="F23" s="33"/>
      <c r="G23" s="33"/>
      <c r="H23" s="55"/>
      <c r="I23" s="55"/>
    </row>
    <row r="24" customFormat="false" ht="21" hidden="false" customHeight="true" outlineLevel="0" collapsed="false">
      <c r="A24" s="49" t="s">
        <v>119</v>
      </c>
      <c r="B24" s="49"/>
      <c r="C24" s="80" t="s">
        <v>117</v>
      </c>
      <c r="D24" s="80"/>
      <c r="E24" s="81" t="s">
        <v>117</v>
      </c>
      <c r="F24" s="33"/>
      <c r="G24" s="33"/>
      <c r="H24" s="52"/>
      <c r="I24" s="52"/>
    </row>
    <row r="25" customFormat="false" ht="21" hidden="false" customHeight="true" outlineLevel="0" collapsed="false">
      <c r="A25" s="57" t="s">
        <v>121</v>
      </c>
      <c r="B25" s="57"/>
      <c r="C25" s="82" t="s">
        <v>117</v>
      </c>
      <c r="D25" s="82"/>
      <c r="E25" s="83" t="s">
        <v>117</v>
      </c>
      <c r="F25" s="84" t="n">
        <f aca="false">F22+F23-F24</f>
        <v>0</v>
      </c>
      <c r="G25" s="84"/>
      <c r="H25" s="60" t="s">
        <v>122</v>
      </c>
      <c r="I25" s="60"/>
    </row>
    <row r="26" customFormat="false" ht="21" hidden="false" customHeight="true" outlineLevel="0" collapsed="false">
      <c r="A26" s="49" t="s">
        <v>169</v>
      </c>
      <c r="B26" s="49"/>
      <c r="C26" s="80" t="s">
        <v>117</v>
      </c>
      <c r="D26" s="80"/>
      <c r="E26" s="81" t="s">
        <v>117</v>
      </c>
      <c r="F26" s="50" t="n">
        <f aca="false">'صورت حساب کلی'!E45-'صورت حساب کلی'!E36</f>
        <v>0</v>
      </c>
      <c r="G26" s="50"/>
      <c r="H26" s="52"/>
      <c r="I26" s="52"/>
    </row>
    <row r="27" customFormat="false" ht="21" hidden="false" customHeight="true" outlineLevel="0" collapsed="false">
      <c r="A27" s="53" t="s">
        <v>125</v>
      </c>
      <c r="B27" s="53"/>
      <c r="C27" s="78" t="s">
        <v>117</v>
      </c>
      <c r="D27" s="78"/>
      <c r="E27" s="79" t="s">
        <v>117</v>
      </c>
      <c r="F27" s="61" t="n">
        <f aca="false">MAX(0,F26-F25)</f>
        <v>0</v>
      </c>
      <c r="G27" s="61"/>
      <c r="H27" s="55" t="s">
        <v>126</v>
      </c>
      <c r="I27" s="55"/>
    </row>
    <row r="28" customFormat="false" ht="21" hidden="false" customHeight="true" outlineLevel="0" collapsed="false">
      <c r="A28" s="57" t="s">
        <v>127</v>
      </c>
      <c r="B28" s="57"/>
      <c r="C28" s="82" t="s">
        <v>117</v>
      </c>
      <c r="D28" s="82"/>
      <c r="E28" s="83" t="s">
        <v>117</v>
      </c>
      <c r="F28" s="84" t="n">
        <f aca="false">MAX(0,F25-F26)</f>
        <v>0</v>
      </c>
      <c r="G28" s="84"/>
      <c r="H28" s="60" t="s">
        <v>128</v>
      </c>
      <c r="I28" s="60"/>
    </row>
    <row r="29" customFormat="false" ht="6" hidden="false" customHeight="true" outlineLevel="0" collapsed="false"/>
    <row r="30" customFormat="false" ht="21.75" hidden="false" customHeight="true" outlineLevel="0" collapsed="false">
      <c r="A30" s="5" t="s">
        <v>170</v>
      </c>
      <c r="B30" s="5"/>
      <c r="C30" s="5"/>
      <c r="D30" s="5"/>
      <c r="E30" s="5"/>
      <c r="F30" s="5"/>
      <c r="G30" s="5"/>
      <c r="H30" s="5"/>
      <c r="I30" s="5"/>
    </row>
    <row r="31" customFormat="false" ht="24" hidden="false" customHeight="true" outlineLevel="0" collapsed="false">
      <c r="A31" s="12" t="s">
        <v>109</v>
      </c>
      <c r="B31" s="12"/>
      <c r="C31" s="12" t="s">
        <v>110</v>
      </c>
      <c r="D31" s="12"/>
      <c r="E31" s="12" t="s">
        <v>111</v>
      </c>
      <c r="F31" s="12" t="s">
        <v>112</v>
      </c>
      <c r="G31" s="12"/>
      <c r="H31" s="12" t="s">
        <v>113</v>
      </c>
      <c r="I31" s="12"/>
    </row>
    <row r="32" customFormat="false" ht="21" hidden="false" customHeight="true" outlineLevel="0" collapsed="false">
      <c r="A32" s="49" t="s">
        <v>114</v>
      </c>
      <c r="B32" s="49"/>
      <c r="C32" s="61" t="n">
        <f aca="false">C12+C22</f>
        <v>0</v>
      </c>
      <c r="D32" s="61"/>
      <c r="E32" s="85" t="n">
        <f aca="false">IF(C32=0,0,F32/C32)</f>
        <v>0</v>
      </c>
      <c r="F32" s="61" t="n">
        <f aca="false">F12+F22</f>
        <v>0</v>
      </c>
      <c r="G32" s="61"/>
      <c r="H32" s="52" t="s">
        <v>171</v>
      </c>
      <c r="I32" s="52"/>
    </row>
    <row r="33" customFormat="false" ht="21" hidden="false" customHeight="true" outlineLevel="0" collapsed="false">
      <c r="A33" s="53" t="s">
        <v>116</v>
      </c>
      <c r="B33" s="53"/>
      <c r="C33" s="78" t="s">
        <v>117</v>
      </c>
      <c r="D33" s="78"/>
      <c r="E33" s="79" t="s">
        <v>117</v>
      </c>
      <c r="F33" s="61" t="n">
        <f aca="false">MAX(0,(F13+F23)-(F14+F24))</f>
        <v>0</v>
      </c>
      <c r="G33" s="61"/>
      <c r="H33" s="55" t="s">
        <v>172</v>
      </c>
      <c r="I33" s="55"/>
    </row>
    <row r="34" customFormat="false" ht="21" hidden="false" customHeight="true" outlineLevel="0" collapsed="false">
      <c r="A34" s="49" t="s">
        <v>119</v>
      </c>
      <c r="B34" s="49"/>
      <c r="C34" s="80" t="s">
        <v>117</v>
      </c>
      <c r="D34" s="80"/>
      <c r="E34" s="81" t="s">
        <v>117</v>
      </c>
      <c r="F34" s="61" t="n">
        <f aca="false">MAX(0,(F14+F24)-(F13+F23))</f>
        <v>0</v>
      </c>
      <c r="G34" s="61"/>
      <c r="H34" s="52" t="s">
        <v>173</v>
      </c>
      <c r="I34" s="52"/>
    </row>
    <row r="35" customFormat="false" ht="21" hidden="false" customHeight="true" outlineLevel="0" collapsed="false">
      <c r="A35" s="57" t="s">
        <v>121</v>
      </c>
      <c r="B35" s="57"/>
      <c r="C35" s="82" t="s">
        <v>117</v>
      </c>
      <c r="D35" s="82"/>
      <c r="E35" s="83" t="s">
        <v>117</v>
      </c>
      <c r="F35" s="84" t="n">
        <f aca="false">F32+F33-F34</f>
        <v>0</v>
      </c>
      <c r="G35" s="84"/>
      <c r="H35" s="60" t="s">
        <v>122</v>
      </c>
      <c r="I35" s="60"/>
    </row>
    <row r="36" customFormat="false" ht="21" hidden="false" customHeight="true" outlineLevel="0" collapsed="false">
      <c r="A36" s="49" t="s">
        <v>123</v>
      </c>
      <c r="B36" s="49"/>
      <c r="C36" s="80" t="s">
        <v>117</v>
      </c>
      <c r="D36" s="80"/>
      <c r="E36" s="81" t="s">
        <v>117</v>
      </c>
      <c r="F36" s="61" t="n">
        <f aca="false">F16+F26</f>
        <v>0</v>
      </c>
      <c r="G36" s="61"/>
      <c r="H36" s="52"/>
      <c r="I36" s="52"/>
    </row>
    <row r="37" customFormat="false" ht="21" hidden="false" customHeight="true" outlineLevel="0" collapsed="false">
      <c r="A37" s="53" t="s">
        <v>125</v>
      </c>
      <c r="B37" s="53"/>
      <c r="C37" s="78" t="s">
        <v>117</v>
      </c>
      <c r="D37" s="78"/>
      <c r="E37" s="79" t="s">
        <v>117</v>
      </c>
      <c r="F37" s="61" t="n">
        <f aca="false">MAX(0,F36-F35)</f>
        <v>0</v>
      </c>
      <c r="G37" s="61"/>
      <c r="H37" s="55" t="s">
        <v>126</v>
      </c>
      <c r="I37" s="55"/>
    </row>
    <row r="38" customFormat="false" ht="21" hidden="false" customHeight="true" outlineLevel="0" collapsed="false">
      <c r="A38" s="57" t="s">
        <v>127</v>
      </c>
      <c r="B38" s="57"/>
      <c r="C38" s="82" t="s">
        <v>117</v>
      </c>
      <c r="D38" s="82"/>
      <c r="E38" s="83" t="s">
        <v>117</v>
      </c>
      <c r="F38" s="84" t="n">
        <f aca="false">MAX(0,F35-F36)</f>
        <v>0</v>
      </c>
      <c r="G38" s="84"/>
      <c r="H38" s="60" t="s">
        <v>128</v>
      </c>
      <c r="I38" s="60"/>
    </row>
    <row r="39" customFormat="false" ht="7.5" hidden="false" customHeight="true" outlineLevel="0" collapsed="false"/>
    <row r="40" customFormat="false" ht="21.75" hidden="false" customHeight="true" outlineLevel="0" collapsed="false">
      <c r="A40" s="5" t="s">
        <v>174</v>
      </c>
      <c r="B40" s="5"/>
      <c r="C40" s="5"/>
      <c r="D40" s="5"/>
      <c r="E40" s="5"/>
      <c r="F40" s="5"/>
      <c r="G40" s="5"/>
      <c r="H40" s="5"/>
      <c r="I40" s="5"/>
    </row>
    <row r="41" customFormat="false" ht="19.5" hidden="false" customHeight="true" outlineLevel="0" collapsed="false">
      <c r="A41" s="49" t="s">
        <v>175</v>
      </c>
      <c r="B41" s="49"/>
      <c r="C41" s="49"/>
      <c r="D41" s="25" t="str">
        <f aca="false">IF(ROUND(F15-F16-F18+F17,0)=0,"مطابقت دارد","اختلاف: "&amp;TEXT(F15-F16-F18+F17,"#,##0;(#,##0)"))</f>
        <v>مطابقت دارد</v>
      </c>
      <c r="E41" s="25"/>
      <c r="F41" s="25"/>
      <c r="G41" s="52" t="s">
        <v>176</v>
      </c>
      <c r="H41" s="52"/>
      <c r="I41" s="52"/>
    </row>
    <row r="42" customFormat="false" ht="19.5" hidden="false" customHeight="true" outlineLevel="0" collapsed="false">
      <c r="A42" s="53" t="s">
        <v>177</v>
      </c>
      <c r="B42" s="53"/>
      <c r="C42" s="53"/>
      <c r="D42" s="25" t="str">
        <f aca="false">IF(ROUND(F25-F26-F28+F27,0)=0,"مطابقت دارد","اختلاف: "&amp;TEXT(F25-F26-F28+F27,"#,##0;(#,##0)"))</f>
        <v>مطابقت دارد</v>
      </c>
      <c r="E42" s="25"/>
      <c r="F42" s="25"/>
      <c r="G42" s="55" t="s">
        <v>176</v>
      </c>
      <c r="H42" s="55"/>
      <c r="I42" s="55"/>
    </row>
    <row r="43" customFormat="false" ht="19.5" hidden="false" customHeight="true" outlineLevel="0" collapsed="false">
      <c r="A43" s="49" t="s">
        <v>178</v>
      </c>
      <c r="B43" s="49"/>
      <c r="C43" s="49"/>
      <c r="D43" s="25" t="str">
        <f aca="false">IF(ROUND(F35-F36-F38+F37,0)=0,"مطابقت دارد","اختلاف: "&amp;TEXT(F35-F36-F38+F37,"#,##0;(#,##0)"))</f>
        <v>مطابقت دارد</v>
      </c>
      <c r="E43" s="25"/>
      <c r="F43" s="25"/>
      <c r="G43" s="52" t="s">
        <v>176</v>
      </c>
      <c r="H43" s="52"/>
      <c r="I43" s="52"/>
    </row>
    <row r="44" customFormat="false" ht="19.5" hidden="false" customHeight="true" outlineLevel="0" collapsed="false">
      <c r="A44" s="53" t="s">
        <v>179</v>
      </c>
      <c r="B44" s="53"/>
      <c r="C44" s="53"/>
      <c r="D44" s="25" t="str">
        <f aca="false">IF(ROUND(F36-'صورت حساب کلی'!E45,0)=0,"مطابقت دارد","اختلاف: "&amp;TEXT(F36-'صورت حساب کلی'!E45,"#,##0;(#,##0)"))</f>
        <v>مطابقت دارد</v>
      </c>
      <c r="E44" s="25"/>
      <c r="F44" s="25"/>
      <c r="G44" s="55" t="s">
        <v>176</v>
      </c>
      <c r="H44" s="55"/>
      <c r="I44" s="55"/>
    </row>
    <row r="46" customFormat="false" ht="19.5" hidden="false" customHeight="true" outlineLevel="0" collapsed="false">
      <c r="A46" s="75" t="s">
        <v>159</v>
      </c>
      <c r="B46" s="75"/>
      <c r="C46" s="75"/>
      <c r="D46" s="75" t="s">
        <v>160</v>
      </c>
      <c r="E46" s="75"/>
      <c r="F46" s="75"/>
      <c r="G46" s="75" t="s">
        <v>161</v>
      </c>
      <c r="H46" s="75"/>
      <c r="I46" s="75"/>
    </row>
    <row r="47" customFormat="false" ht="45.75" hidden="false" customHeight="true" outlineLevel="0" collapsed="false">
      <c r="A47" s="76"/>
      <c r="B47" s="76"/>
      <c r="C47" s="76"/>
      <c r="D47" s="76"/>
      <c r="E47" s="76"/>
      <c r="F47" s="76"/>
      <c r="G47" s="76"/>
      <c r="H47" s="76"/>
      <c r="I47" s="76"/>
    </row>
    <row r="49" customFormat="false" ht="18" hidden="false" customHeight="true" outlineLevel="0" collapsed="false">
      <c r="A49" s="27" t="s">
        <v>74</v>
      </c>
      <c r="B49" s="27"/>
      <c r="C49" s="27"/>
      <c r="D49" s="27"/>
      <c r="E49" s="27"/>
      <c r="F49" s="27"/>
      <c r="G49" s="27"/>
      <c r="H49" s="27"/>
      <c r="I49" s="27"/>
    </row>
    <row r="50" customFormat="false" ht="15" hidden="false" customHeight="true" outlineLevel="0" collapsed="false">
      <c r="A50" s="28" t="s">
        <v>75</v>
      </c>
      <c r="B50" s="28"/>
      <c r="C50" s="28"/>
      <c r="D50" s="28"/>
      <c r="E50" s="28"/>
      <c r="F50" s="28"/>
      <c r="G50" s="28"/>
      <c r="H50" s="28"/>
      <c r="I50" s="28"/>
    </row>
    <row r="51" customFormat="false" ht="15" hidden="false" customHeight="true" outlineLevel="0" collapsed="false">
      <c r="A51" s="28" t="s">
        <v>76</v>
      </c>
      <c r="B51" s="28"/>
      <c r="C51" s="28"/>
      <c r="D51" s="28"/>
      <c r="E51" s="28"/>
      <c r="F51" s="28"/>
      <c r="G51" s="28"/>
      <c r="H51" s="28"/>
      <c r="I51" s="28"/>
    </row>
    <row r="52" customFormat="false" ht="15" hidden="false" customHeight="true" outlineLevel="0" collapsed="false">
      <c r="A52" s="28" t="s">
        <v>77</v>
      </c>
      <c r="B52" s="28"/>
      <c r="C52" s="28"/>
      <c r="D52" s="28"/>
      <c r="E52" s="28"/>
      <c r="F52" s="28"/>
      <c r="G52" s="28"/>
      <c r="H52" s="28"/>
      <c r="I52" s="28"/>
    </row>
    <row r="53" customFormat="false" ht="15" hidden="false" customHeight="true" outlineLevel="0" collapsed="false">
      <c r="A53" s="28" t="s">
        <v>78</v>
      </c>
      <c r="B53" s="28"/>
      <c r="C53" s="28"/>
      <c r="D53" s="28"/>
      <c r="E53" s="28"/>
      <c r="F53" s="28"/>
      <c r="G53" s="28"/>
      <c r="H53" s="28"/>
      <c r="I53" s="28"/>
    </row>
    <row r="54" customFormat="false" ht="15" hidden="false" customHeight="true" outlineLevel="0" collapsed="false">
      <c r="A54" s="28" t="s">
        <v>79</v>
      </c>
      <c r="B54" s="28"/>
      <c r="C54" s="28"/>
      <c r="D54" s="28"/>
      <c r="E54" s="28"/>
      <c r="F54" s="28"/>
      <c r="G54" s="28"/>
      <c r="H54" s="28"/>
      <c r="I54" s="28"/>
    </row>
    <row r="55" customFormat="false" ht="15" hidden="false" customHeight="true" outlineLevel="0" collapsed="false">
      <c r="A55" s="28" t="s">
        <v>180</v>
      </c>
      <c r="B55" s="28"/>
      <c r="C55" s="28"/>
      <c r="D55" s="28"/>
      <c r="E55" s="28"/>
      <c r="F55" s="28"/>
      <c r="G55" s="28"/>
      <c r="H55" s="28"/>
      <c r="I55" s="28"/>
    </row>
  </sheetData>
  <mergeCells count="135">
    <mergeCell ref="A1:I1"/>
    <mergeCell ref="A2:I2"/>
    <mergeCell ref="A3:I3"/>
    <mergeCell ref="A4:I4"/>
    <mergeCell ref="A5:B5"/>
    <mergeCell ref="G5:I5"/>
    <mergeCell ref="A7:I7"/>
    <mergeCell ref="B8:C8"/>
    <mergeCell ref="E8:F8"/>
    <mergeCell ref="H8:I8"/>
    <mergeCell ref="A10:I10"/>
    <mergeCell ref="A11:B11"/>
    <mergeCell ref="C11:D11"/>
    <mergeCell ref="F11:G11"/>
    <mergeCell ref="H11:I11"/>
    <mergeCell ref="A12:B12"/>
    <mergeCell ref="C12:D12"/>
    <mergeCell ref="F12:G12"/>
    <mergeCell ref="H12:I12"/>
    <mergeCell ref="A13:B13"/>
    <mergeCell ref="C13:D13"/>
    <mergeCell ref="F13:G13"/>
    <mergeCell ref="H13:I13"/>
    <mergeCell ref="A14:B14"/>
    <mergeCell ref="C14:D14"/>
    <mergeCell ref="F14:G14"/>
    <mergeCell ref="H14:I14"/>
    <mergeCell ref="A15:B15"/>
    <mergeCell ref="C15:D15"/>
    <mergeCell ref="F15:G15"/>
    <mergeCell ref="H15:I15"/>
    <mergeCell ref="A16:B16"/>
    <mergeCell ref="C16:D16"/>
    <mergeCell ref="F16:G16"/>
    <mergeCell ref="H16:I16"/>
    <mergeCell ref="A17:B17"/>
    <mergeCell ref="C17:D17"/>
    <mergeCell ref="F17:G17"/>
    <mergeCell ref="H17:I17"/>
    <mergeCell ref="A18:B18"/>
    <mergeCell ref="C18:D18"/>
    <mergeCell ref="F18:G18"/>
    <mergeCell ref="H18:I18"/>
    <mergeCell ref="A20:I20"/>
    <mergeCell ref="A21:B21"/>
    <mergeCell ref="C21:D21"/>
    <mergeCell ref="F21:G21"/>
    <mergeCell ref="H21:I21"/>
    <mergeCell ref="A22:B22"/>
    <mergeCell ref="C22:D22"/>
    <mergeCell ref="F22:G22"/>
    <mergeCell ref="H22:I22"/>
    <mergeCell ref="A23:B23"/>
    <mergeCell ref="C23:D23"/>
    <mergeCell ref="F23:G23"/>
    <mergeCell ref="H23:I23"/>
    <mergeCell ref="A24:B24"/>
    <mergeCell ref="C24:D24"/>
    <mergeCell ref="F24:G24"/>
    <mergeCell ref="H24:I24"/>
    <mergeCell ref="A25:B25"/>
    <mergeCell ref="C25:D25"/>
    <mergeCell ref="F25:G25"/>
    <mergeCell ref="H25:I25"/>
    <mergeCell ref="A26:B26"/>
    <mergeCell ref="C26:D26"/>
    <mergeCell ref="F26:G26"/>
    <mergeCell ref="H26:I26"/>
    <mergeCell ref="A27:B27"/>
    <mergeCell ref="C27:D27"/>
    <mergeCell ref="F27:G27"/>
    <mergeCell ref="H27:I27"/>
    <mergeCell ref="A28:B28"/>
    <mergeCell ref="C28:D28"/>
    <mergeCell ref="F28:G28"/>
    <mergeCell ref="H28:I28"/>
    <mergeCell ref="A30:I30"/>
    <mergeCell ref="A31:B31"/>
    <mergeCell ref="C31:D31"/>
    <mergeCell ref="F31:G31"/>
    <mergeCell ref="H31:I31"/>
    <mergeCell ref="A32:B32"/>
    <mergeCell ref="C32:D32"/>
    <mergeCell ref="F32:G32"/>
    <mergeCell ref="H32:I32"/>
    <mergeCell ref="A33:B33"/>
    <mergeCell ref="C33:D33"/>
    <mergeCell ref="F33:G33"/>
    <mergeCell ref="H33:I33"/>
    <mergeCell ref="A34:B34"/>
    <mergeCell ref="C34:D34"/>
    <mergeCell ref="F34:G34"/>
    <mergeCell ref="H34:I34"/>
    <mergeCell ref="A35:B35"/>
    <mergeCell ref="C35:D35"/>
    <mergeCell ref="F35:G35"/>
    <mergeCell ref="H35:I35"/>
    <mergeCell ref="A36:B36"/>
    <mergeCell ref="C36:D36"/>
    <mergeCell ref="F36:G36"/>
    <mergeCell ref="H36:I36"/>
    <mergeCell ref="A37:B37"/>
    <mergeCell ref="C37:D37"/>
    <mergeCell ref="F37:G37"/>
    <mergeCell ref="H37:I37"/>
    <mergeCell ref="A38:B38"/>
    <mergeCell ref="C38:D38"/>
    <mergeCell ref="F38:G38"/>
    <mergeCell ref="H38:I38"/>
    <mergeCell ref="A40:I40"/>
    <mergeCell ref="A41:C41"/>
    <mergeCell ref="D41:F41"/>
    <mergeCell ref="G41:I41"/>
    <mergeCell ref="A42:C42"/>
    <mergeCell ref="D42:F42"/>
    <mergeCell ref="G42:I42"/>
    <mergeCell ref="A43:C43"/>
    <mergeCell ref="D43:F43"/>
    <mergeCell ref="G43:I43"/>
    <mergeCell ref="A44:C44"/>
    <mergeCell ref="D44:F44"/>
    <mergeCell ref="G44:I44"/>
    <mergeCell ref="A46:C46"/>
    <mergeCell ref="D46:F46"/>
    <mergeCell ref="G46:I46"/>
    <mergeCell ref="A47:C47"/>
    <mergeCell ref="D47:F47"/>
    <mergeCell ref="G47:I47"/>
    <mergeCell ref="A49:I49"/>
    <mergeCell ref="A50:I50"/>
    <mergeCell ref="A51:I51"/>
    <mergeCell ref="A52:I52"/>
    <mergeCell ref="A53:I53"/>
    <mergeCell ref="A54:I54"/>
    <mergeCell ref="A55:I55"/>
  </mergeCells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H5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44"/>
    <col collapsed="false" customWidth="true" hidden="false" outlineLevel="0" max="7" min="6" style="1" width="15"/>
    <col collapsed="false" customWidth="true" hidden="false" outlineLevel="0" max="8" min="8" style="1" width="18"/>
  </cols>
  <sheetData>
    <row r="1" customFormat="false" ht="21.75" hidden="false" customHeight="true" outlineLevel="0" collapsed="false">
      <c r="A1" s="29" t="str">
        <f aca="false">'فهرست و راهنما'!$C$5</f>
        <v>مؤسسهٔ خیریه، فرهنگی و اجتماعی منجی موعود ( عج )</v>
      </c>
      <c r="B1" s="29"/>
      <c r="C1" s="29"/>
      <c r="D1" s="29"/>
      <c r="E1" s="29"/>
      <c r="F1" s="29"/>
      <c r="G1" s="29"/>
      <c r="H1" s="29"/>
    </row>
    <row r="2" customFormat="false" ht="18" hidden="false" customHeight="true" outlineLevel="0" collapsed="false">
      <c r="A2" s="3" t="str">
        <f aca="false">'فهرست و راهنما'!$C$6</f>
        <v>تحت اشراف حاج آقای مصباح موسوی، نمایندهٔ مرجع عالیقدر شیعه حضرت آیت‌الله العظمی سیستانی ( دام ظله العالی )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30" t="str">
        <f aca="false">"جدول معاشات کارمندان   –   برج  "&amp;'صورت حساب کلی'!$B$10&amp;"    سال  "&amp;'صورت حساب کلی'!$E$10</f>
        <v>جدول معاشات کارمندان   –   برج      سال  </v>
      </c>
      <c r="B3" s="30"/>
      <c r="C3" s="30"/>
      <c r="D3" s="30"/>
      <c r="E3" s="30"/>
      <c r="F3" s="30"/>
      <c r="G3" s="30"/>
      <c r="H3" s="30"/>
    </row>
    <row r="4" customFormat="false" ht="13.5" hidden="false" customHeight="true" outlineLevel="0" collapsed="false">
      <c r="A4" s="31" t="str">
        <f aca="false">"کود فورم:  FIN-04"</f>
        <v>کود فورم:  FIN-04</v>
      </c>
      <c r="B4" s="31"/>
      <c r="C4" s="31"/>
      <c r="D4" s="31"/>
      <c r="E4" s="31"/>
      <c r="F4" s="31"/>
      <c r="G4" s="31"/>
      <c r="H4" s="31"/>
    </row>
    <row r="5" customFormat="false" ht="19.5" hidden="false" customHeight="true" outlineLevel="0" collapsed="false">
      <c r="A5" s="6" t="s">
        <v>84</v>
      </c>
      <c r="B5" s="6"/>
      <c r="C5" s="10"/>
      <c r="D5" s="6" t="s">
        <v>82</v>
      </c>
      <c r="E5" s="10"/>
      <c r="F5" s="6" t="s">
        <v>98</v>
      </c>
      <c r="G5" s="25" t="str">
        <f aca="false">IF('فهرست و راهنما'!$C$7="","",'فهرست و راهنما'!$C$7&amp;"  –  ")&amp;'فهرست و راهنما'!$C$8&amp;" / "&amp;'فهرست و راهنما'!$C$9</f>
        <v> / </v>
      </c>
      <c r="H5" s="25"/>
    </row>
    <row r="6" customFormat="false" ht="6" hidden="false" customHeight="true" outlineLevel="0" collapsed="false"/>
    <row r="7" customFormat="false" ht="25.5" hidden="false" customHeight="true" outlineLevel="0" collapsed="false">
      <c r="A7" s="12" t="s">
        <v>81</v>
      </c>
      <c r="B7" s="12" t="s">
        <v>181</v>
      </c>
      <c r="C7" s="12" t="s">
        <v>182</v>
      </c>
      <c r="D7" s="12" t="s">
        <v>183</v>
      </c>
      <c r="E7" s="12" t="s">
        <v>184</v>
      </c>
      <c r="F7" s="12" t="s">
        <v>86</v>
      </c>
      <c r="G7" s="12" t="s">
        <v>185</v>
      </c>
      <c r="H7" s="12" t="s">
        <v>186</v>
      </c>
    </row>
    <row r="8" customFormat="false" ht="21.75" hidden="false" customHeight="true" outlineLevel="0" collapsed="false">
      <c r="A8" s="32" t="str">
        <f aca="false">IF(B8="","",COUNTA($B$8:B8))</f>
        <v/>
      </c>
      <c r="B8" s="7"/>
      <c r="C8" s="7"/>
      <c r="D8" s="10"/>
      <c r="E8" s="9"/>
      <c r="F8" s="33"/>
      <c r="G8" s="10"/>
      <c r="H8" s="10"/>
    </row>
    <row r="9" customFormat="false" ht="21.75" hidden="false" customHeight="true" outlineLevel="0" collapsed="false">
      <c r="A9" s="34" t="str">
        <f aca="false">IF(B9="","",COUNTA($B$8:B9))</f>
        <v/>
      </c>
      <c r="B9" s="7"/>
      <c r="C9" s="7"/>
      <c r="D9" s="10"/>
      <c r="E9" s="9"/>
      <c r="F9" s="33"/>
      <c r="G9" s="10"/>
      <c r="H9" s="10"/>
    </row>
    <row r="10" customFormat="false" ht="21.75" hidden="false" customHeight="true" outlineLevel="0" collapsed="false">
      <c r="A10" s="32" t="str">
        <f aca="false">IF(B10="","",COUNTA($B$8:B10))</f>
        <v/>
      </c>
      <c r="B10" s="7"/>
      <c r="C10" s="7"/>
      <c r="D10" s="10"/>
      <c r="E10" s="9"/>
      <c r="F10" s="33"/>
      <c r="G10" s="10"/>
      <c r="H10" s="10"/>
    </row>
    <row r="11" customFormat="false" ht="21.75" hidden="false" customHeight="true" outlineLevel="0" collapsed="false">
      <c r="A11" s="34" t="str">
        <f aca="false">IF(B11="","",COUNTA($B$8:B11))</f>
        <v/>
      </c>
      <c r="B11" s="7"/>
      <c r="C11" s="7"/>
      <c r="D11" s="10"/>
      <c r="E11" s="9"/>
      <c r="F11" s="33"/>
      <c r="G11" s="10"/>
      <c r="H11" s="10"/>
    </row>
    <row r="12" customFormat="false" ht="21.75" hidden="false" customHeight="true" outlineLevel="0" collapsed="false">
      <c r="A12" s="32" t="str">
        <f aca="false">IF(B12="","",COUNTA($B$8:B12))</f>
        <v/>
      </c>
      <c r="B12" s="7"/>
      <c r="C12" s="7"/>
      <c r="D12" s="10"/>
      <c r="E12" s="9"/>
      <c r="F12" s="33"/>
      <c r="G12" s="10"/>
      <c r="H12" s="10"/>
    </row>
    <row r="13" customFormat="false" ht="21.75" hidden="false" customHeight="true" outlineLevel="0" collapsed="false">
      <c r="A13" s="34" t="str">
        <f aca="false">IF(B13="","",COUNTA($B$8:B13))</f>
        <v/>
      </c>
      <c r="B13" s="7"/>
      <c r="C13" s="7"/>
      <c r="D13" s="10"/>
      <c r="E13" s="9"/>
      <c r="F13" s="33"/>
      <c r="G13" s="10"/>
      <c r="H13" s="10"/>
    </row>
    <row r="14" customFormat="false" ht="21.75" hidden="false" customHeight="true" outlineLevel="0" collapsed="false">
      <c r="A14" s="32" t="str">
        <f aca="false">IF(B14="","",COUNTA($B$8:B14))</f>
        <v/>
      </c>
      <c r="B14" s="7"/>
      <c r="C14" s="7"/>
      <c r="D14" s="10"/>
      <c r="E14" s="9"/>
      <c r="F14" s="33"/>
      <c r="G14" s="10"/>
      <c r="H14" s="10"/>
    </row>
    <row r="15" customFormat="false" ht="21.75" hidden="false" customHeight="true" outlineLevel="0" collapsed="false">
      <c r="A15" s="34" t="str">
        <f aca="false">IF(B15="","",COUNTA($B$8:B15))</f>
        <v/>
      </c>
      <c r="B15" s="7"/>
      <c r="C15" s="7"/>
      <c r="D15" s="10"/>
      <c r="E15" s="9"/>
      <c r="F15" s="33"/>
      <c r="G15" s="10"/>
      <c r="H15" s="10"/>
    </row>
    <row r="16" customFormat="false" ht="21.75" hidden="false" customHeight="true" outlineLevel="0" collapsed="false">
      <c r="A16" s="32" t="str">
        <f aca="false">IF(B16="","",COUNTA($B$8:B16))</f>
        <v/>
      </c>
      <c r="B16" s="7"/>
      <c r="C16" s="7"/>
      <c r="D16" s="10"/>
      <c r="E16" s="9"/>
      <c r="F16" s="33"/>
      <c r="G16" s="10"/>
      <c r="H16" s="10"/>
    </row>
    <row r="17" customFormat="false" ht="21.75" hidden="false" customHeight="true" outlineLevel="0" collapsed="false">
      <c r="A17" s="34" t="str">
        <f aca="false">IF(B17="","",COUNTA($B$8:B17))</f>
        <v/>
      </c>
      <c r="B17" s="7"/>
      <c r="C17" s="7"/>
      <c r="D17" s="10"/>
      <c r="E17" s="9"/>
      <c r="F17" s="33"/>
      <c r="G17" s="10"/>
      <c r="H17" s="10"/>
    </row>
    <row r="18" customFormat="false" ht="21.75" hidden="false" customHeight="true" outlineLevel="0" collapsed="false">
      <c r="A18" s="32" t="str">
        <f aca="false">IF(B18="","",COUNTA($B$8:B18))</f>
        <v/>
      </c>
      <c r="B18" s="7"/>
      <c r="C18" s="7"/>
      <c r="D18" s="10"/>
      <c r="E18" s="9"/>
      <c r="F18" s="33"/>
      <c r="G18" s="10"/>
      <c r="H18" s="10"/>
    </row>
    <row r="19" customFormat="false" ht="21.75" hidden="false" customHeight="true" outlineLevel="0" collapsed="false">
      <c r="A19" s="34" t="str">
        <f aca="false">IF(B19="","",COUNTA($B$8:B19))</f>
        <v/>
      </c>
      <c r="B19" s="7"/>
      <c r="C19" s="7"/>
      <c r="D19" s="10"/>
      <c r="E19" s="9"/>
      <c r="F19" s="33"/>
      <c r="G19" s="10"/>
      <c r="H19" s="10"/>
    </row>
    <row r="20" customFormat="false" ht="21.75" hidden="false" customHeight="true" outlineLevel="0" collapsed="false">
      <c r="A20" s="32" t="str">
        <f aca="false">IF(B20="","",COUNTA($B$8:B20))</f>
        <v/>
      </c>
      <c r="B20" s="7"/>
      <c r="C20" s="7"/>
      <c r="D20" s="10"/>
      <c r="E20" s="9"/>
      <c r="F20" s="33"/>
      <c r="G20" s="10"/>
      <c r="H20" s="10"/>
    </row>
    <row r="21" customFormat="false" ht="21.75" hidden="false" customHeight="true" outlineLevel="0" collapsed="false">
      <c r="A21" s="34" t="str">
        <f aca="false">IF(B21="","",COUNTA($B$8:B21))</f>
        <v/>
      </c>
      <c r="B21" s="7"/>
      <c r="C21" s="7"/>
      <c r="D21" s="10"/>
      <c r="E21" s="9"/>
      <c r="F21" s="33"/>
      <c r="G21" s="10"/>
      <c r="H21" s="10"/>
    </row>
    <row r="22" customFormat="false" ht="21.75" hidden="false" customHeight="true" outlineLevel="0" collapsed="false">
      <c r="A22" s="32" t="str">
        <f aca="false">IF(B22="","",COUNTA($B$8:B22))</f>
        <v/>
      </c>
      <c r="B22" s="7"/>
      <c r="C22" s="7"/>
      <c r="D22" s="10"/>
      <c r="E22" s="9"/>
      <c r="F22" s="33"/>
      <c r="G22" s="10"/>
      <c r="H22" s="10"/>
    </row>
    <row r="23" customFormat="false" ht="21.75" hidden="false" customHeight="true" outlineLevel="0" collapsed="false">
      <c r="A23" s="34" t="str">
        <f aca="false">IF(B23="","",COUNTA($B$8:B23))</f>
        <v/>
      </c>
      <c r="B23" s="7"/>
      <c r="C23" s="7"/>
      <c r="D23" s="10"/>
      <c r="E23" s="9"/>
      <c r="F23" s="33"/>
      <c r="G23" s="10"/>
      <c r="H23" s="10"/>
    </row>
    <row r="24" customFormat="false" ht="21.75" hidden="false" customHeight="true" outlineLevel="0" collapsed="false">
      <c r="A24" s="32" t="str">
        <f aca="false">IF(B24="","",COUNTA($B$8:B24))</f>
        <v/>
      </c>
      <c r="B24" s="7"/>
      <c r="C24" s="7"/>
      <c r="D24" s="10"/>
      <c r="E24" s="9"/>
      <c r="F24" s="33"/>
      <c r="G24" s="10"/>
      <c r="H24" s="10"/>
    </row>
    <row r="25" customFormat="false" ht="21.75" hidden="false" customHeight="true" outlineLevel="0" collapsed="false">
      <c r="A25" s="34" t="str">
        <f aca="false">IF(B25="","",COUNTA($B$8:B25))</f>
        <v/>
      </c>
      <c r="B25" s="7"/>
      <c r="C25" s="7"/>
      <c r="D25" s="10"/>
      <c r="E25" s="9"/>
      <c r="F25" s="33"/>
      <c r="G25" s="10"/>
      <c r="H25" s="10"/>
    </row>
    <row r="26" customFormat="false" ht="21.75" hidden="false" customHeight="true" outlineLevel="0" collapsed="false">
      <c r="A26" s="32" t="str">
        <f aca="false">IF(B26="","",COUNTA($B$8:B26))</f>
        <v/>
      </c>
      <c r="B26" s="7"/>
      <c r="C26" s="7"/>
      <c r="D26" s="10"/>
      <c r="E26" s="9"/>
      <c r="F26" s="33"/>
      <c r="G26" s="10"/>
      <c r="H26" s="10"/>
    </row>
    <row r="27" customFormat="false" ht="21.75" hidden="false" customHeight="true" outlineLevel="0" collapsed="false">
      <c r="A27" s="34" t="str">
        <f aca="false">IF(B27="","",COUNTA($B$8:B27))</f>
        <v/>
      </c>
      <c r="B27" s="7"/>
      <c r="C27" s="7"/>
      <c r="D27" s="10"/>
      <c r="E27" s="9"/>
      <c r="F27" s="33"/>
      <c r="G27" s="10"/>
      <c r="H27" s="10"/>
    </row>
    <row r="28" customFormat="false" ht="21.75" hidden="false" customHeight="true" outlineLevel="0" collapsed="false">
      <c r="A28" s="32" t="str">
        <f aca="false">IF(B28="","",COUNTA($B$8:B28))</f>
        <v/>
      </c>
      <c r="B28" s="7"/>
      <c r="C28" s="7"/>
      <c r="D28" s="10"/>
      <c r="E28" s="9"/>
      <c r="F28" s="33"/>
      <c r="G28" s="10"/>
      <c r="H28" s="10"/>
    </row>
    <row r="29" customFormat="false" ht="21.75" hidden="false" customHeight="true" outlineLevel="0" collapsed="false">
      <c r="A29" s="34" t="str">
        <f aca="false">IF(B29="","",COUNTA($B$8:B29))</f>
        <v/>
      </c>
      <c r="B29" s="7"/>
      <c r="C29" s="7"/>
      <c r="D29" s="10"/>
      <c r="E29" s="9"/>
      <c r="F29" s="33"/>
      <c r="G29" s="10"/>
      <c r="H29" s="10"/>
    </row>
    <row r="30" customFormat="false" ht="21.75" hidden="false" customHeight="true" outlineLevel="0" collapsed="false">
      <c r="A30" s="32" t="str">
        <f aca="false">IF(B30="","",COUNTA($B$8:B30))</f>
        <v/>
      </c>
      <c r="B30" s="7"/>
      <c r="C30" s="7"/>
      <c r="D30" s="10"/>
      <c r="E30" s="9"/>
      <c r="F30" s="33"/>
      <c r="G30" s="10"/>
      <c r="H30" s="10"/>
    </row>
    <row r="31" customFormat="false" ht="21.75" hidden="false" customHeight="true" outlineLevel="0" collapsed="false">
      <c r="A31" s="34" t="str">
        <f aca="false">IF(B31="","",COUNTA($B$8:B31))</f>
        <v/>
      </c>
      <c r="B31" s="7"/>
      <c r="C31" s="7"/>
      <c r="D31" s="10"/>
      <c r="E31" s="9"/>
      <c r="F31" s="33"/>
      <c r="G31" s="10"/>
      <c r="H31" s="10"/>
    </row>
    <row r="32" customFormat="false" ht="21.75" hidden="false" customHeight="true" outlineLevel="0" collapsed="false">
      <c r="A32" s="32" t="str">
        <f aca="false">IF(B32="","",COUNTA($B$8:B32))</f>
        <v/>
      </c>
      <c r="B32" s="7"/>
      <c r="C32" s="7"/>
      <c r="D32" s="10"/>
      <c r="E32" s="9"/>
      <c r="F32" s="33"/>
      <c r="G32" s="10"/>
      <c r="H32" s="10"/>
    </row>
    <row r="33" customFormat="false" ht="25.5" hidden="false" customHeight="true" outlineLevel="0" collapsed="false">
      <c r="A33" s="71" t="s">
        <v>187</v>
      </c>
      <c r="B33" s="71"/>
      <c r="C33" s="71"/>
      <c r="D33" s="71"/>
      <c r="E33" s="71"/>
      <c r="F33" s="72" t="n">
        <f aca="false">SUM(F8:F32)</f>
        <v>0</v>
      </c>
      <c r="G33" s="37" t="str">
        <f aca="false">"تعداد کارمند:  "&amp;COUNTA(B8:B32)</f>
        <v>تعداد کارمند:  0</v>
      </c>
      <c r="H33" s="37"/>
    </row>
    <row r="34" customFormat="false" ht="7.5" hidden="false" customHeight="true" outlineLevel="0" collapsed="false"/>
    <row r="35" customFormat="false" ht="21.75" hidden="false" customHeight="true" outlineLevel="0" collapsed="false">
      <c r="A35" s="5" t="s">
        <v>188</v>
      </c>
      <c r="B35" s="5"/>
      <c r="C35" s="5"/>
      <c r="D35" s="5"/>
      <c r="E35" s="5"/>
      <c r="F35" s="86"/>
      <c r="G35" s="86"/>
      <c r="H35" s="86"/>
    </row>
    <row r="36" customFormat="false" ht="19.5" hidden="false" customHeight="true" outlineLevel="0" collapsed="false">
      <c r="A36" s="38" t="s">
        <v>183</v>
      </c>
      <c r="B36" s="38"/>
      <c r="C36" s="38" t="s">
        <v>91</v>
      </c>
      <c r="D36" s="38" t="s">
        <v>86</v>
      </c>
      <c r="E36" s="38"/>
    </row>
    <row r="37" customFormat="false" ht="18.75" hidden="false" customHeight="true" outlineLevel="0" collapsed="false">
      <c r="A37" s="39" t="s">
        <v>189</v>
      </c>
      <c r="B37" s="39"/>
      <c r="C37" s="32" t="n">
        <f aca="false">COUNTIF($D$8:$D$32,$A37)</f>
        <v>0</v>
      </c>
      <c r="D37" s="40" t="n">
        <f aca="false">SUMIF($D$8:$D$32,$A37,$F$8:$F$32)</f>
        <v>0</v>
      </c>
      <c r="E37" s="40"/>
    </row>
    <row r="38" customFormat="false" ht="18.75" hidden="false" customHeight="true" outlineLevel="0" collapsed="false">
      <c r="A38" s="42" t="s">
        <v>190</v>
      </c>
      <c r="B38" s="42"/>
      <c r="C38" s="34" t="n">
        <f aca="false">COUNTIF($D$8:$D$32,$A38)</f>
        <v>0</v>
      </c>
      <c r="D38" s="43" t="n">
        <f aca="false">SUMIF($D$8:$D$32,$A38,$F$8:$F$32)</f>
        <v>0</v>
      </c>
      <c r="E38" s="43"/>
    </row>
    <row r="39" customFormat="false" ht="18.75" hidden="false" customHeight="true" outlineLevel="0" collapsed="false">
      <c r="A39" s="39" t="s">
        <v>191</v>
      </c>
      <c r="B39" s="39"/>
      <c r="C39" s="32" t="n">
        <f aca="false">COUNTIF($D$8:$D$32,$A39)</f>
        <v>0</v>
      </c>
      <c r="D39" s="40" t="n">
        <f aca="false">SUMIF($D$8:$D$32,$A39,$F$8:$F$32)</f>
        <v>0</v>
      </c>
      <c r="E39" s="40"/>
    </row>
    <row r="40" customFormat="false" ht="18.75" hidden="false" customHeight="true" outlineLevel="0" collapsed="false">
      <c r="A40" s="42" t="s">
        <v>192</v>
      </c>
      <c r="B40" s="42"/>
      <c r="C40" s="34" t="n">
        <f aca="false">COUNTIF($D$8:$D$32,$A40)</f>
        <v>0</v>
      </c>
      <c r="D40" s="43" t="n">
        <f aca="false">SUMIF($D$8:$D$32,$A40,$F$8:$F$32)</f>
        <v>0</v>
      </c>
      <c r="E40" s="43"/>
    </row>
    <row r="41" customFormat="false" ht="18.75" hidden="false" customHeight="true" outlineLevel="0" collapsed="false">
      <c r="A41" s="39" t="s">
        <v>95</v>
      </c>
      <c r="B41" s="39"/>
      <c r="C41" s="32" t="n">
        <f aca="false">COUNTIF($D$8:$D$32,$A41)</f>
        <v>0</v>
      </c>
      <c r="D41" s="40" t="n">
        <f aca="false">SUMIF($D$8:$D$32,$A41,$F$8:$F$32)</f>
        <v>0</v>
      </c>
      <c r="E41" s="40"/>
    </row>
    <row r="42" customFormat="false" ht="19.5" hidden="false" customHeight="true" outlineLevel="0" collapsed="false">
      <c r="A42" s="45" t="s">
        <v>96</v>
      </c>
      <c r="B42" s="45"/>
      <c r="C42" s="46" t="n">
        <f aca="false">SUM(C37:C41)</f>
        <v>0</v>
      </c>
      <c r="D42" s="47" t="n">
        <f aca="false">SUM(D37:D41)</f>
        <v>0</v>
      </c>
      <c r="E42" s="47"/>
      <c r="F42" s="25" t="str">
        <f aca="false">IF(ROUND(D42-F33,0)=0,"مطابقت دارد","اختلاف: "&amp;TEXT(F33-D42,"#,##0"))</f>
        <v>مطابقت دارد</v>
      </c>
      <c r="G42" s="25"/>
      <c r="H42" s="25"/>
    </row>
    <row r="44" customFormat="false" ht="19.5" hidden="false" customHeight="true" outlineLevel="0" collapsed="false">
      <c r="A44" s="75" t="s">
        <v>82</v>
      </c>
      <c r="B44" s="75"/>
      <c r="C44" s="75" t="s">
        <v>193</v>
      </c>
      <c r="D44" s="75"/>
      <c r="E44" s="75"/>
      <c r="F44" s="75" t="s">
        <v>160</v>
      </c>
      <c r="G44" s="75"/>
      <c r="H44" s="75"/>
    </row>
    <row r="45" customFormat="false" ht="45.75" hidden="false" customHeight="true" outlineLevel="0" collapsed="false">
      <c r="A45" s="76"/>
      <c r="B45" s="76"/>
      <c r="C45" s="76"/>
      <c r="D45" s="76"/>
      <c r="E45" s="76"/>
      <c r="F45" s="76"/>
      <c r="G45" s="76"/>
      <c r="H45" s="76"/>
    </row>
    <row r="47" customFormat="false" ht="18" hidden="false" customHeight="true" outlineLevel="0" collapsed="false">
      <c r="A47" s="27" t="s">
        <v>74</v>
      </c>
      <c r="B47" s="27"/>
      <c r="C47" s="27"/>
      <c r="D47" s="27"/>
      <c r="E47" s="27"/>
      <c r="F47" s="27"/>
      <c r="G47" s="27"/>
      <c r="H47" s="27"/>
    </row>
    <row r="48" customFormat="false" ht="15" hidden="false" customHeight="true" outlineLevel="0" collapsed="false">
      <c r="A48" s="28" t="s">
        <v>75</v>
      </c>
      <c r="B48" s="28"/>
      <c r="C48" s="28"/>
      <c r="D48" s="28"/>
      <c r="E48" s="28"/>
      <c r="F48" s="28"/>
      <c r="G48" s="28"/>
      <c r="H48" s="28"/>
    </row>
    <row r="49" customFormat="false" ht="15" hidden="false" customHeight="true" outlineLevel="0" collapsed="false">
      <c r="A49" s="28" t="s">
        <v>76</v>
      </c>
      <c r="B49" s="28"/>
      <c r="C49" s="28"/>
      <c r="D49" s="28"/>
      <c r="E49" s="28"/>
      <c r="F49" s="28"/>
      <c r="G49" s="28"/>
      <c r="H49" s="28"/>
    </row>
    <row r="50" customFormat="false" ht="15" hidden="false" customHeight="true" outlineLevel="0" collapsed="false">
      <c r="A50" s="28" t="s">
        <v>77</v>
      </c>
      <c r="B50" s="28"/>
      <c r="C50" s="28"/>
      <c r="D50" s="28"/>
      <c r="E50" s="28"/>
      <c r="F50" s="28"/>
      <c r="G50" s="28"/>
      <c r="H50" s="28"/>
    </row>
    <row r="51" customFormat="false" ht="15" hidden="false" customHeight="true" outlineLevel="0" collapsed="false">
      <c r="A51" s="28" t="s">
        <v>78</v>
      </c>
      <c r="B51" s="28"/>
      <c r="C51" s="28"/>
      <c r="D51" s="28"/>
      <c r="E51" s="28"/>
      <c r="F51" s="28"/>
      <c r="G51" s="28"/>
      <c r="H51" s="28"/>
    </row>
    <row r="52" customFormat="false" ht="15" hidden="false" customHeight="true" outlineLevel="0" collapsed="false">
      <c r="A52" s="28" t="s">
        <v>79</v>
      </c>
      <c r="B52" s="28"/>
      <c r="C52" s="28"/>
      <c r="D52" s="28"/>
      <c r="E52" s="28"/>
      <c r="F52" s="28"/>
      <c r="G52" s="28"/>
      <c r="H52" s="28"/>
    </row>
    <row r="53" customFormat="false" ht="15" hidden="false" customHeight="true" outlineLevel="0" collapsed="false">
      <c r="A53" s="28" t="s">
        <v>194</v>
      </c>
      <c r="B53" s="28"/>
      <c r="C53" s="28"/>
      <c r="D53" s="28"/>
      <c r="E53" s="28"/>
      <c r="F53" s="28"/>
      <c r="G53" s="28"/>
      <c r="H53" s="28"/>
    </row>
    <row r="54" customFormat="false" ht="15" hidden="false" customHeight="true" outlineLevel="0" collapsed="false">
      <c r="A54" s="28" t="s">
        <v>195</v>
      </c>
      <c r="B54" s="28"/>
      <c r="C54" s="28"/>
      <c r="D54" s="28"/>
      <c r="E54" s="28"/>
      <c r="F54" s="28"/>
      <c r="G54" s="28"/>
      <c r="H54" s="28"/>
    </row>
  </sheetData>
  <mergeCells count="39">
    <mergeCell ref="A1:H1"/>
    <mergeCell ref="A2:H2"/>
    <mergeCell ref="A3:H3"/>
    <mergeCell ref="A4:H4"/>
    <mergeCell ref="A5:B5"/>
    <mergeCell ref="G5:H5"/>
    <mergeCell ref="A33:E33"/>
    <mergeCell ref="G33:H33"/>
    <mergeCell ref="A35:E35"/>
    <mergeCell ref="F35:H35"/>
    <mergeCell ref="A36:B36"/>
    <mergeCell ref="D36:E36"/>
    <mergeCell ref="A37:B37"/>
    <mergeCell ref="D37:E37"/>
    <mergeCell ref="A38:B38"/>
    <mergeCell ref="D38:E38"/>
    <mergeCell ref="A39:B39"/>
    <mergeCell ref="D39:E39"/>
    <mergeCell ref="A40:B40"/>
    <mergeCell ref="D40:E40"/>
    <mergeCell ref="A41:B41"/>
    <mergeCell ref="D41:E41"/>
    <mergeCell ref="A42:B42"/>
    <mergeCell ref="D42:E42"/>
    <mergeCell ref="F42:H42"/>
    <mergeCell ref="A44:B44"/>
    <mergeCell ref="C44:E44"/>
    <mergeCell ref="F44:H44"/>
    <mergeCell ref="A45:B45"/>
    <mergeCell ref="C45:E45"/>
    <mergeCell ref="F45:H45"/>
    <mergeCell ref="A47:H47"/>
    <mergeCell ref="A48:H48"/>
    <mergeCell ref="A49:H49"/>
    <mergeCell ref="A50:H50"/>
    <mergeCell ref="A51:H51"/>
    <mergeCell ref="A52:H52"/>
    <mergeCell ref="A53:H53"/>
    <mergeCell ref="A54:H54"/>
  </mergeCells>
  <dataValidations count="2">
    <dataValidation allowBlank="true" errorStyle="stop" operator="between" showDropDown="false" showErrorMessage="false" showInputMessage="false" sqref="D8:D32" type="list">
      <formula1>"معاش,حق الزحمه,حق الماموریت,اضافه کاری,سایر"</formula1>
      <formula2>0</formula2>
    </dataValidation>
    <dataValidation allowBlank="true" errorStyle="stop" operator="between" showDropDown="false" showErrorMessage="false" showInputMessage="false" sqref="G8:G32" type="list">
      <formula1>"پرداخت شد,پرداخت نشد,قسماً پرداخت شد"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H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9"/>
    <col collapsed="false" customWidth="true" hidden="false" outlineLevel="0" max="3" min="3" style="1" width="25"/>
    <col collapsed="false" customWidth="true" hidden="false" outlineLevel="0" max="4" min="4" style="1" width="13"/>
    <col collapsed="false" customWidth="true" hidden="false" outlineLevel="0" max="5" min="5" style="1" width="15"/>
    <col collapsed="false" customWidth="true" hidden="false" outlineLevel="0" max="6" min="6" style="1" width="17"/>
    <col collapsed="false" customWidth="true" hidden="false" outlineLevel="0" max="7" min="7" style="1" width="16"/>
    <col collapsed="false" customWidth="true" hidden="false" outlineLevel="0" max="8" min="8" style="1" width="22"/>
  </cols>
  <sheetData>
    <row r="1" customFormat="false" ht="21.75" hidden="false" customHeight="true" outlineLevel="0" collapsed="false">
      <c r="A1" s="29" t="str">
        <f aca="false">'فهرست و راهنما'!$C$5</f>
        <v>مؤسسهٔ خیریه، فرهنگی و اجتماعی منجی موعود ( عج )</v>
      </c>
      <c r="B1" s="29"/>
      <c r="C1" s="29"/>
      <c r="D1" s="29"/>
      <c r="E1" s="29"/>
      <c r="F1" s="29"/>
      <c r="G1" s="29"/>
      <c r="H1" s="29"/>
    </row>
    <row r="2" customFormat="false" ht="18" hidden="false" customHeight="true" outlineLevel="0" collapsed="false">
      <c r="A2" s="3" t="str">
        <f aca="false">'فهرست و راهنما'!$C$6</f>
        <v>تحت اشراف حاج آقای مصباح موسوی، نمایندهٔ مرجع عالیقدر شیعه حضرت آیت‌الله العظمی سیستانی ( دام ظله العالی )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30" t="str">
        <f aca="false">"سند پرداخت وجه"</f>
        <v>سند پرداخت وجه</v>
      </c>
      <c r="B3" s="30"/>
      <c r="C3" s="30"/>
      <c r="D3" s="30"/>
      <c r="E3" s="30"/>
      <c r="F3" s="30"/>
      <c r="G3" s="30"/>
      <c r="H3" s="30"/>
    </row>
    <row r="4" customFormat="false" ht="13.5" hidden="false" customHeight="true" outlineLevel="0" collapsed="false">
      <c r="A4" s="31" t="str">
        <f aca="false">"کود فورم:  FIN-01"</f>
        <v>کود فورم:  FIN-01</v>
      </c>
      <c r="B4" s="31"/>
      <c r="C4" s="31"/>
      <c r="D4" s="31"/>
      <c r="E4" s="31"/>
      <c r="F4" s="31"/>
      <c r="G4" s="31"/>
      <c r="H4" s="31"/>
    </row>
    <row r="5" customFormat="false" ht="19.5" hidden="false" customHeight="true" outlineLevel="0" collapsed="false">
      <c r="A5" s="6" t="s">
        <v>84</v>
      </c>
      <c r="B5" s="6"/>
      <c r="C5" s="10"/>
      <c r="D5" s="6" t="s">
        <v>82</v>
      </c>
      <c r="E5" s="10"/>
      <c r="F5" s="6" t="s">
        <v>98</v>
      </c>
      <c r="G5" s="25" t="str">
        <f aca="false">IF('فهرست و راهنما'!$C$7="","",'فهرست و راهنما'!$C$7&amp;"  –  ")&amp;'فهرست و راهنما'!$C$8&amp;" / "&amp;'فهرست و راهنما'!$C$9</f>
        <v> / </v>
      </c>
      <c r="H5" s="25"/>
    </row>
    <row r="6" customFormat="false" ht="6" hidden="false" customHeight="true" outlineLevel="0" collapsed="false"/>
    <row r="7" customFormat="false" ht="21.75" hidden="false" customHeight="true" outlineLevel="0" collapsed="false">
      <c r="A7" s="5" t="s">
        <v>196</v>
      </c>
      <c r="B7" s="5"/>
      <c r="C7" s="5"/>
      <c r="D7" s="5"/>
      <c r="E7" s="5"/>
      <c r="F7" s="5"/>
      <c r="G7" s="5"/>
      <c r="H7" s="5"/>
    </row>
    <row r="8" customFormat="false" ht="19.5" hidden="false" customHeight="true" outlineLevel="0" collapsed="false">
      <c r="A8" s="6" t="s">
        <v>197</v>
      </c>
      <c r="B8" s="6"/>
      <c r="C8" s="10"/>
      <c r="D8" s="6" t="s">
        <v>183</v>
      </c>
      <c r="E8" s="10"/>
      <c r="F8" s="6" t="s">
        <v>198</v>
      </c>
      <c r="G8" s="10"/>
      <c r="H8" s="10"/>
    </row>
    <row r="9" customFormat="false" ht="19.5" hidden="false" customHeight="true" outlineLevel="0" collapsed="false">
      <c r="A9" s="6" t="s">
        <v>199</v>
      </c>
      <c r="B9" s="6"/>
      <c r="C9" s="7"/>
      <c r="D9" s="7"/>
      <c r="E9" s="7"/>
      <c r="F9" s="6" t="s">
        <v>200</v>
      </c>
      <c r="G9" s="10"/>
      <c r="H9" s="10"/>
    </row>
    <row r="10" customFormat="false" ht="6" hidden="false" customHeight="true" outlineLevel="0" collapsed="false"/>
    <row r="11" customFormat="false" ht="21.75" hidden="false" customHeight="true" outlineLevel="0" collapsed="false">
      <c r="A11" s="5" t="s">
        <v>201</v>
      </c>
      <c r="B11" s="5"/>
      <c r="C11" s="5"/>
      <c r="D11" s="5"/>
      <c r="E11" s="5"/>
      <c r="F11" s="5"/>
      <c r="G11" s="5"/>
      <c r="H11" s="5"/>
    </row>
    <row r="12" customFormat="false" ht="25.5" hidden="false" customHeight="true" outlineLevel="0" collapsed="false">
      <c r="A12" s="12" t="s">
        <v>81</v>
      </c>
      <c r="B12" s="12" t="s">
        <v>202</v>
      </c>
      <c r="C12" s="12"/>
      <c r="D12" s="12" t="s">
        <v>203</v>
      </c>
      <c r="E12" s="12" t="s">
        <v>204</v>
      </c>
      <c r="F12" s="12" t="s">
        <v>96</v>
      </c>
      <c r="G12" s="12" t="s">
        <v>113</v>
      </c>
      <c r="H12" s="12"/>
    </row>
    <row r="13" customFormat="false" ht="19.5" hidden="false" customHeight="true" outlineLevel="0" collapsed="false">
      <c r="A13" s="13" t="n">
        <v>1</v>
      </c>
      <c r="B13" s="7"/>
      <c r="C13" s="7"/>
      <c r="D13" s="77"/>
      <c r="E13" s="33"/>
      <c r="F13" s="40" t="str">
        <f aca="false">IF(OR(D13="",E13=""),"",D13*E13)</f>
        <v/>
      </c>
      <c r="G13" s="7"/>
      <c r="H13" s="7"/>
    </row>
    <row r="14" customFormat="false" ht="19.5" hidden="false" customHeight="true" outlineLevel="0" collapsed="false">
      <c r="A14" s="18" t="n">
        <v>2</v>
      </c>
      <c r="B14" s="7"/>
      <c r="C14" s="7"/>
      <c r="D14" s="77"/>
      <c r="E14" s="33"/>
      <c r="F14" s="43" t="str">
        <f aca="false">IF(OR(D14="",E14=""),"",D14*E14)</f>
        <v/>
      </c>
      <c r="G14" s="7"/>
      <c r="H14" s="7"/>
    </row>
    <row r="15" customFormat="false" ht="19.5" hidden="false" customHeight="true" outlineLevel="0" collapsed="false">
      <c r="A15" s="13" t="n">
        <v>3</v>
      </c>
      <c r="B15" s="7"/>
      <c r="C15" s="7"/>
      <c r="D15" s="77"/>
      <c r="E15" s="33"/>
      <c r="F15" s="40" t="str">
        <f aca="false">IF(OR(D15="",E15=""),"",D15*E15)</f>
        <v/>
      </c>
      <c r="G15" s="7"/>
      <c r="H15" s="7"/>
    </row>
    <row r="16" customFormat="false" ht="19.5" hidden="false" customHeight="true" outlineLevel="0" collapsed="false">
      <c r="A16" s="18" t="n">
        <v>4</v>
      </c>
      <c r="B16" s="7"/>
      <c r="C16" s="7"/>
      <c r="D16" s="77"/>
      <c r="E16" s="33"/>
      <c r="F16" s="43" t="str">
        <f aca="false">IF(OR(D16="",E16=""),"",D16*E16)</f>
        <v/>
      </c>
      <c r="G16" s="7"/>
      <c r="H16" s="7"/>
    </row>
    <row r="17" customFormat="false" ht="19.5" hidden="false" customHeight="true" outlineLevel="0" collapsed="false">
      <c r="A17" s="13" t="n">
        <v>5</v>
      </c>
      <c r="B17" s="7"/>
      <c r="C17" s="7"/>
      <c r="D17" s="77"/>
      <c r="E17" s="33"/>
      <c r="F17" s="40" t="str">
        <f aca="false">IF(OR(D17="",E17=""),"",D17*E17)</f>
        <v/>
      </c>
      <c r="G17" s="7"/>
      <c r="H17" s="7"/>
    </row>
    <row r="18" customFormat="false" ht="19.5" hidden="false" customHeight="true" outlineLevel="0" collapsed="false">
      <c r="A18" s="18" t="n">
        <v>6</v>
      </c>
      <c r="B18" s="7"/>
      <c r="C18" s="7"/>
      <c r="D18" s="77"/>
      <c r="E18" s="33"/>
      <c r="F18" s="43" t="str">
        <f aca="false">IF(OR(D18="",E18=""),"",D18*E18)</f>
        <v/>
      </c>
      <c r="G18" s="7"/>
      <c r="H18" s="7"/>
    </row>
    <row r="19" customFormat="false" ht="19.5" hidden="false" customHeight="true" outlineLevel="0" collapsed="false">
      <c r="A19" s="13" t="n">
        <v>7</v>
      </c>
      <c r="B19" s="7"/>
      <c r="C19" s="7"/>
      <c r="D19" s="77"/>
      <c r="E19" s="33"/>
      <c r="F19" s="40" t="str">
        <f aca="false">IF(OR(D19="",E19=""),"",D19*E19)</f>
        <v/>
      </c>
      <c r="G19" s="7"/>
      <c r="H19" s="7"/>
    </row>
    <row r="20" customFormat="false" ht="19.5" hidden="false" customHeight="true" outlineLevel="0" collapsed="false">
      <c r="A20" s="18" t="n">
        <v>8</v>
      </c>
      <c r="B20" s="7"/>
      <c r="C20" s="7"/>
      <c r="D20" s="77"/>
      <c r="E20" s="33"/>
      <c r="F20" s="43" t="str">
        <f aca="false">IF(OR(D20="",E20=""),"",D20*E20)</f>
        <v/>
      </c>
      <c r="G20" s="7"/>
      <c r="H20" s="7"/>
    </row>
    <row r="21" customFormat="false" ht="19.5" hidden="false" customHeight="true" outlineLevel="0" collapsed="false">
      <c r="A21" s="13" t="n">
        <v>9</v>
      </c>
      <c r="B21" s="7"/>
      <c r="C21" s="7"/>
      <c r="D21" s="77"/>
      <c r="E21" s="33"/>
      <c r="F21" s="40" t="str">
        <f aca="false">IF(OR(D21="",E21=""),"",D21*E21)</f>
        <v/>
      </c>
      <c r="G21" s="7"/>
      <c r="H21" s="7"/>
    </row>
    <row r="22" customFormat="false" ht="19.5" hidden="false" customHeight="true" outlineLevel="0" collapsed="false">
      <c r="A22" s="18" t="n">
        <v>10</v>
      </c>
      <c r="B22" s="7"/>
      <c r="C22" s="7"/>
      <c r="D22" s="77"/>
      <c r="E22" s="33"/>
      <c r="F22" s="43" t="str">
        <f aca="false">IF(OR(D22="",E22=""),"",D22*E22)</f>
        <v/>
      </c>
      <c r="G22" s="7"/>
      <c r="H22" s="7"/>
    </row>
    <row r="23" customFormat="false" ht="24.75" hidden="false" customHeight="true" outlineLevel="0" collapsed="false">
      <c r="A23" s="71" t="s">
        <v>147</v>
      </c>
      <c r="B23" s="71"/>
      <c r="C23" s="71"/>
      <c r="D23" s="71"/>
      <c r="E23" s="71"/>
      <c r="F23" s="72" t="n">
        <f aca="false">SUM(F13:F22)</f>
        <v>0</v>
      </c>
      <c r="G23" s="37" t="str">
        <f aca="false">"تعداد اقلام:  "&amp;COUNT(F13:F22)</f>
        <v>تعداد اقلام:  0</v>
      </c>
      <c r="H23" s="37"/>
    </row>
    <row r="24" customFormat="false" ht="24" hidden="false" customHeight="true" outlineLevel="0" collapsed="false">
      <c r="A24" s="6" t="s">
        <v>205</v>
      </c>
      <c r="B24" s="6"/>
      <c r="C24" s="87" t="str">
        <f aca="false">داده!$F$27</f>
        <v>صفر افغانی</v>
      </c>
      <c r="D24" s="87"/>
      <c r="E24" s="87"/>
      <c r="F24" s="87"/>
      <c r="G24" s="87"/>
      <c r="H24" s="87"/>
    </row>
    <row r="26" customFormat="false" ht="21.75" hidden="false" customHeight="true" outlineLevel="0" collapsed="false">
      <c r="A26" s="5" t="s">
        <v>206</v>
      </c>
      <c r="B26" s="5"/>
      <c r="C26" s="5"/>
      <c r="D26" s="5"/>
      <c r="E26" s="5"/>
      <c r="F26" s="5"/>
      <c r="G26" s="5"/>
      <c r="H26" s="5"/>
    </row>
    <row r="27" customFormat="false" ht="19.5" hidden="false" customHeight="true" outlineLevel="0" collapsed="false">
      <c r="A27" s="6" t="s">
        <v>181</v>
      </c>
      <c r="B27" s="6"/>
      <c r="C27" s="10"/>
      <c r="D27" s="6" t="s">
        <v>207</v>
      </c>
      <c r="E27" s="10"/>
      <c r="F27" s="6" t="s">
        <v>208</v>
      </c>
      <c r="G27" s="10"/>
      <c r="H27" s="10"/>
    </row>
    <row r="29" customFormat="false" ht="21.75" hidden="false" customHeight="true" outlineLevel="0" collapsed="false">
      <c r="A29" s="5" t="s">
        <v>209</v>
      </c>
      <c r="B29" s="5"/>
      <c r="C29" s="5"/>
      <c r="D29" s="5"/>
      <c r="E29" s="5"/>
      <c r="F29" s="5"/>
      <c r="G29" s="5"/>
      <c r="H29" s="5"/>
    </row>
    <row r="30" customFormat="false" ht="19.5" hidden="false" customHeight="true" outlineLevel="0" collapsed="false">
      <c r="A30" s="75" t="s">
        <v>87</v>
      </c>
      <c r="B30" s="75"/>
      <c r="C30" s="75" t="s">
        <v>210</v>
      </c>
      <c r="D30" s="75"/>
      <c r="E30" s="75" t="s">
        <v>211</v>
      </c>
      <c r="F30" s="75"/>
      <c r="G30" s="75" t="s">
        <v>212</v>
      </c>
      <c r="H30" s="75"/>
    </row>
    <row r="31" customFormat="false" ht="45.75" hidden="false" customHeight="true" outlineLevel="0" collapsed="false">
      <c r="A31" s="76"/>
      <c r="B31" s="76"/>
      <c r="C31" s="76"/>
      <c r="D31" s="76"/>
      <c r="E31" s="76"/>
      <c r="F31" s="76"/>
      <c r="G31" s="76"/>
      <c r="H31" s="76"/>
    </row>
    <row r="33" customFormat="false" ht="19.5" hidden="false" customHeight="true" outlineLevel="0" collapsed="false">
      <c r="A33" s="6" t="s">
        <v>213</v>
      </c>
      <c r="B33" s="6"/>
      <c r="C33" s="11"/>
      <c r="D33" s="8" t="s">
        <v>214</v>
      </c>
      <c r="E33" s="8"/>
      <c r="F33" s="8"/>
      <c r="G33" s="8"/>
      <c r="H33" s="8"/>
    </row>
    <row r="35" customFormat="false" ht="18" hidden="false" customHeight="true" outlineLevel="0" collapsed="false">
      <c r="A35" s="27" t="s">
        <v>74</v>
      </c>
      <c r="B35" s="27"/>
      <c r="C35" s="27"/>
      <c r="D35" s="27"/>
      <c r="E35" s="27"/>
      <c r="F35" s="27"/>
      <c r="G35" s="27"/>
      <c r="H35" s="27"/>
    </row>
    <row r="36" customFormat="false" ht="15" hidden="false" customHeight="true" outlineLevel="0" collapsed="false">
      <c r="A36" s="28" t="s">
        <v>75</v>
      </c>
      <c r="B36" s="28"/>
      <c r="C36" s="28"/>
      <c r="D36" s="28"/>
      <c r="E36" s="28"/>
      <c r="F36" s="28"/>
      <c r="G36" s="28"/>
      <c r="H36" s="28"/>
    </row>
    <row r="37" customFormat="false" ht="15" hidden="false" customHeight="true" outlineLevel="0" collapsed="false">
      <c r="A37" s="28" t="s">
        <v>76</v>
      </c>
      <c r="B37" s="28"/>
      <c r="C37" s="28"/>
      <c r="D37" s="28"/>
      <c r="E37" s="28"/>
      <c r="F37" s="28"/>
      <c r="G37" s="28"/>
      <c r="H37" s="28"/>
    </row>
    <row r="38" customFormat="false" ht="15" hidden="false" customHeight="true" outlineLevel="0" collapsed="false">
      <c r="A38" s="28" t="s">
        <v>77</v>
      </c>
      <c r="B38" s="28"/>
      <c r="C38" s="28"/>
      <c r="D38" s="28"/>
      <c r="E38" s="28"/>
      <c r="F38" s="28"/>
      <c r="G38" s="28"/>
      <c r="H38" s="28"/>
    </row>
    <row r="39" customFormat="false" ht="15" hidden="false" customHeight="true" outlineLevel="0" collapsed="false">
      <c r="A39" s="28" t="s">
        <v>78</v>
      </c>
      <c r="B39" s="28"/>
      <c r="C39" s="28"/>
      <c r="D39" s="28"/>
      <c r="E39" s="28"/>
      <c r="F39" s="28"/>
      <c r="G39" s="28"/>
      <c r="H39" s="28"/>
    </row>
    <row r="40" customFormat="false" ht="15" hidden="false" customHeight="true" outlineLevel="0" collapsed="false">
      <c r="A40" s="28" t="s">
        <v>79</v>
      </c>
      <c r="B40" s="28"/>
      <c r="C40" s="28"/>
      <c r="D40" s="28"/>
      <c r="E40" s="28"/>
      <c r="F40" s="28"/>
      <c r="G40" s="28"/>
      <c r="H40" s="28"/>
    </row>
    <row r="41" customFormat="false" ht="15" hidden="false" customHeight="true" outlineLevel="0" collapsed="false">
      <c r="A41" s="28" t="s">
        <v>215</v>
      </c>
      <c r="B41" s="28"/>
      <c r="C41" s="28"/>
      <c r="D41" s="28"/>
      <c r="E41" s="28"/>
      <c r="F41" s="28"/>
      <c r="G41" s="28"/>
      <c r="H41" s="28"/>
    </row>
    <row r="42" customFormat="false" ht="15" hidden="false" customHeight="true" outlineLevel="0" collapsed="false">
      <c r="A42" s="28" t="s">
        <v>216</v>
      </c>
      <c r="B42" s="28"/>
      <c r="C42" s="28"/>
      <c r="D42" s="28"/>
      <c r="E42" s="28"/>
      <c r="F42" s="28"/>
      <c r="G42" s="28"/>
      <c r="H42" s="28"/>
    </row>
  </sheetData>
  <mergeCells count="61">
    <mergeCell ref="A1:H1"/>
    <mergeCell ref="A2:H2"/>
    <mergeCell ref="A3:H3"/>
    <mergeCell ref="A4:H4"/>
    <mergeCell ref="A5:B5"/>
    <mergeCell ref="G5:H5"/>
    <mergeCell ref="A7:H7"/>
    <mergeCell ref="A8:B8"/>
    <mergeCell ref="G8:H8"/>
    <mergeCell ref="A9:B9"/>
    <mergeCell ref="C9:E9"/>
    <mergeCell ref="G9:H9"/>
    <mergeCell ref="A11:H11"/>
    <mergeCell ref="B12:C12"/>
    <mergeCell ref="G12:H12"/>
    <mergeCell ref="B13:C13"/>
    <mergeCell ref="G13:H13"/>
    <mergeCell ref="B14:C14"/>
    <mergeCell ref="G14:H14"/>
    <mergeCell ref="B15:C15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  <mergeCell ref="B21:C21"/>
    <mergeCell ref="G21:H21"/>
    <mergeCell ref="B22:C22"/>
    <mergeCell ref="G22:H22"/>
    <mergeCell ref="A23:E23"/>
    <mergeCell ref="G23:H23"/>
    <mergeCell ref="A24:B24"/>
    <mergeCell ref="C24:H24"/>
    <mergeCell ref="A26:H26"/>
    <mergeCell ref="A27:B27"/>
    <mergeCell ref="G27:H27"/>
    <mergeCell ref="A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3:B33"/>
    <mergeCell ref="D33:H33"/>
    <mergeCell ref="A35:H35"/>
    <mergeCell ref="A36:H36"/>
    <mergeCell ref="A37:H37"/>
    <mergeCell ref="A38:H38"/>
    <mergeCell ref="A39:H39"/>
    <mergeCell ref="A40:H40"/>
    <mergeCell ref="A41:H41"/>
    <mergeCell ref="A42:H42"/>
  </mergeCells>
  <dataValidations count="2">
    <dataValidation allowBlank="true" errorStyle="stop" operator="between" showDropDown="false" showErrorMessage="false" showInputMessage="false" sqref="E8" type="list">
      <formula1>"نقدی,حواله بانکی,چک,انتقال داخلی"</formula1>
      <formula2>0</formula2>
    </dataValidation>
    <dataValidation allowBlank="true" errorStyle="stop" operator="between" showDropDown="false" showErrorMessage="false" showInputMessage="false" sqref="G9" type="list">
      <formula1>"افغانی ( ؋ ),دالر ( $ ),کلدار,تومان"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H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15"/>
    <col collapsed="false" customWidth="true" hidden="false" outlineLevel="0" max="4" min="4" style="1" width="20"/>
    <col collapsed="false" customWidth="true" hidden="false" outlineLevel="0" max="5" min="5" style="1" width="15"/>
    <col collapsed="false" customWidth="true" hidden="false" outlineLevel="0" max="6" min="6" style="1" width="18"/>
    <col collapsed="false" customWidth="true" hidden="false" outlineLevel="0" max="7" min="7" style="1" width="15"/>
    <col collapsed="false" customWidth="true" hidden="false" outlineLevel="0" max="8" min="8" style="1" width="20"/>
  </cols>
  <sheetData>
    <row r="1" customFormat="false" ht="21.75" hidden="false" customHeight="true" outlineLevel="0" collapsed="false">
      <c r="A1" s="29" t="str">
        <f aca="false">'فهرست و راهنما'!$C$5</f>
        <v>مؤسسهٔ خیریه، فرهنگی و اجتماعی منجی موعود ( عج )</v>
      </c>
      <c r="B1" s="29"/>
      <c r="C1" s="29"/>
      <c r="D1" s="29"/>
      <c r="E1" s="29"/>
      <c r="F1" s="29"/>
      <c r="G1" s="29"/>
      <c r="H1" s="29"/>
    </row>
    <row r="2" customFormat="false" ht="18" hidden="false" customHeight="true" outlineLevel="0" collapsed="false">
      <c r="A2" s="3" t="str">
        <f aca="false">'فهرست و راهنما'!$C$6</f>
        <v>تحت اشراف حاج آقای مصباح موسوی، نمایندهٔ مرجع عالیقدر شیعه حضرت آیت‌الله العظمی سیستانی ( دام ظله العالی )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30" t="str">
        <f aca="false">"فورم درخواست رخصتی"</f>
        <v>فورم درخواست رخصتی</v>
      </c>
      <c r="B3" s="30"/>
      <c r="C3" s="30"/>
      <c r="D3" s="30"/>
      <c r="E3" s="30"/>
      <c r="F3" s="30"/>
      <c r="G3" s="30"/>
      <c r="H3" s="30"/>
    </row>
    <row r="4" customFormat="false" ht="13.5" hidden="false" customHeight="true" outlineLevel="0" collapsed="false">
      <c r="A4" s="31" t="str">
        <f aca="false">"کود فورم:  HR-01"</f>
        <v>کود فورم:  HR-01</v>
      </c>
      <c r="B4" s="31"/>
      <c r="C4" s="31"/>
      <c r="D4" s="31"/>
      <c r="E4" s="31"/>
      <c r="F4" s="31"/>
      <c r="G4" s="31"/>
      <c r="H4" s="31"/>
    </row>
    <row r="5" customFormat="false" ht="19.5" hidden="false" customHeight="true" outlineLevel="0" collapsed="false">
      <c r="A5" s="6" t="s">
        <v>84</v>
      </c>
      <c r="B5" s="6"/>
      <c r="C5" s="10"/>
      <c r="D5" s="6" t="s">
        <v>82</v>
      </c>
      <c r="E5" s="10"/>
      <c r="F5" s="6" t="s">
        <v>98</v>
      </c>
      <c r="G5" s="25" t="str">
        <f aca="false">IF('فهرست و راهنما'!$C$7="","",'فهرست و راهنما'!$C$7&amp;"  –  ")&amp;'فهرست و راهنما'!$C$8&amp;" / "&amp;'فهرست و راهنما'!$C$9</f>
        <v> / </v>
      </c>
      <c r="H5" s="25"/>
    </row>
    <row r="6" customFormat="false" ht="6" hidden="false" customHeight="true" outlineLevel="0" collapsed="false"/>
    <row r="7" customFormat="false" ht="21.75" hidden="false" customHeight="true" outlineLevel="0" collapsed="false">
      <c r="A7" s="5" t="s">
        <v>217</v>
      </c>
      <c r="B7" s="5"/>
      <c r="C7" s="5"/>
      <c r="D7" s="5"/>
      <c r="E7" s="5"/>
      <c r="F7" s="5"/>
      <c r="G7" s="5"/>
      <c r="H7" s="5"/>
    </row>
    <row r="8" customFormat="false" ht="19.5" hidden="false" customHeight="true" outlineLevel="0" collapsed="false">
      <c r="A8" s="6" t="s">
        <v>181</v>
      </c>
      <c r="B8" s="10"/>
      <c r="C8" s="10"/>
      <c r="D8" s="6" t="s">
        <v>218</v>
      </c>
      <c r="E8" s="10"/>
      <c r="F8" s="6" t="s">
        <v>219</v>
      </c>
      <c r="G8" s="10"/>
      <c r="H8" s="10"/>
    </row>
    <row r="9" customFormat="false" ht="19.5" hidden="false" customHeight="true" outlineLevel="0" collapsed="false">
      <c r="A9" s="6" t="s">
        <v>220</v>
      </c>
      <c r="B9" s="10"/>
      <c r="C9" s="10"/>
      <c r="D9" s="6" t="s">
        <v>221</v>
      </c>
      <c r="E9" s="10"/>
      <c r="F9" s="6" t="s">
        <v>208</v>
      </c>
      <c r="G9" s="10"/>
      <c r="H9" s="10"/>
    </row>
    <row r="11" customFormat="false" ht="21.75" hidden="false" customHeight="true" outlineLevel="0" collapsed="false">
      <c r="A11" s="5" t="s">
        <v>222</v>
      </c>
      <c r="B11" s="5"/>
      <c r="C11" s="5"/>
      <c r="D11" s="5"/>
      <c r="E11" s="5"/>
      <c r="F11" s="5"/>
      <c r="G11" s="5"/>
      <c r="H11" s="5"/>
    </row>
    <row r="12" customFormat="false" ht="19.5" hidden="false" customHeight="true" outlineLevel="0" collapsed="false">
      <c r="A12" s="6" t="s">
        <v>223</v>
      </c>
      <c r="B12" s="10"/>
      <c r="C12" s="10"/>
      <c r="D12" s="6" t="s">
        <v>224</v>
      </c>
      <c r="E12" s="10"/>
      <c r="F12" s="6" t="s">
        <v>225</v>
      </c>
      <c r="G12" s="10"/>
      <c r="H12" s="10"/>
    </row>
    <row r="13" customFormat="false" ht="19.5" hidden="false" customHeight="true" outlineLevel="0" collapsed="false">
      <c r="A13" s="6" t="s">
        <v>226</v>
      </c>
      <c r="B13" s="11"/>
      <c r="C13" s="11"/>
      <c r="D13" s="6" t="s">
        <v>227</v>
      </c>
      <c r="E13" s="10"/>
      <c r="F13" s="6" t="s">
        <v>228</v>
      </c>
      <c r="G13" s="10"/>
      <c r="H13" s="10"/>
    </row>
    <row r="14" customFormat="false" ht="33.75" hidden="false" customHeight="true" outlineLevel="0" collapsed="false">
      <c r="A14" s="6" t="s">
        <v>229</v>
      </c>
      <c r="B14" s="9"/>
      <c r="C14" s="9"/>
      <c r="D14" s="9"/>
      <c r="E14" s="9"/>
      <c r="F14" s="9"/>
      <c r="G14" s="9"/>
      <c r="H14" s="9"/>
    </row>
    <row r="15" customFormat="false" ht="21.75" hidden="false" customHeight="true" outlineLevel="0" collapsed="false">
      <c r="A15" s="6" t="s">
        <v>230</v>
      </c>
      <c r="B15" s="7"/>
      <c r="C15" s="7"/>
      <c r="D15" s="7"/>
      <c r="E15" s="7"/>
      <c r="F15" s="7"/>
      <c r="G15" s="7"/>
      <c r="H15" s="7"/>
    </row>
    <row r="16" customFormat="false" ht="21.75" hidden="false" customHeight="true" outlineLevel="0" collapsed="false">
      <c r="A16" s="6" t="s">
        <v>231</v>
      </c>
      <c r="B16" s="10"/>
      <c r="C16" s="10"/>
      <c r="D16" s="6" t="s">
        <v>232</v>
      </c>
      <c r="E16" s="7"/>
      <c r="F16" s="7"/>
      <c r="G16" s="7"/>
      <c r="H16" s="7"/>
    </row>
    <row r="18" customFormat="false" ht="21.75" hidden="false" customHeight="true" outlineLevel="0" collapsed="false">
      <c r="A18" s="5" t="s">
        <v>233</v>
      </c>
      <c r="B18" s="5"/>
      <c r="C18" s="5"/>
      <c r="D18" s="5"/>
      <c r="E18" s="5"/>
      <c r="F18" s="5"/>
      <c r="G18" s="5"/>
      <c r="H18" s="5"/>
    </row>
    <row r="19" customFormat="false" ht="21.75" hidden="false" customHeight="true" outlineLevel="0" collapsed="false">
      <c r="A19" s="37" t="s">
        <v>234</v>
      </c>
      <c r="B19" s="37"/>
      <c r="C19" s="37" t="s">
        <v>235</v>
      </c>
      <c r="D19" s="37"/>
      <c r="E19" s="37" t="s">
        <v>139</v>
      </c>
      <c r="F19" s="37"/>
      <c r="G19" s="37"/>
      <c r="H19" s="37"/>
    </row>
    <row r="20" customFormat="false" ht="19.5" hidden="false" customHeight="true" outlineLevel="0" collapsed="false">
      <c r="A20" s="49" t="s">
        <v>236</v>
      </c>
      <c r="B20" s="49"/>
      <c r="C20" s="11"/>
      <c r="D20" s="11"/>
      <c r="E20" s="8" t="s">
        <v>237</v>
      </c>
      <c r="F20" s="8"/>
      <c r="G20" s="8"/>
      <c r="H20" s="8"/>
    </row>
    <row r="21" customFormat="false" ht="19.5" hidden="false" customHeight="true" outlineLevel="0" collapsed="false">
      <c r="A21" s="53" t="s">
        <v>238</v>
      </c>
      <c r="B21" s="53"/>
      <c r="C21" s="11"/>
      <c r="D21" s="11"/>
      <c r="E21" s="8" t="s">
        <v>239</v>
      </c>
      <c r="F21" s="8"/>
      <c r="G21" s="8"/>
      <c r="H21" s="8"/>
    </row>
    <row r="22" customFormat="false" ht="19.5" hidden="false" customHeight="true" outlineLevel="0" collapsed="false">
      <c r="A22" s="49" t="s">
        <v>240</v>
      </c>
      <c r="B22" s="49"/>
      <c r="C22" s="48" t="n">
        <f aca="false">C20-C21</f>
        <v>0</v>
      </c>
      <c r="D22" s="48"/>
      <c r="E22" s="8" t="s">
        <v>241</v>
      </c>
      <c r="F22" s="8"/>
      <c r="G22" s="8"/>
      <c r="H22" s="8"/>
    </row>
    <row r="23" customFormat="false" ht="19.5" hidden="false" customHeight="true" outlineLevel="0" collapsed="false">
      <c r="A23" s="53" t="s">
        <v>242</v>
      </c>
      <c r="B23" s="53"/>
      <c r="C23" s="48" t="n">
        <f aca="false">B13</f>
        <v>0</v>
      </c>
      <c r="D23" s="48"/>
      <c r="E23" s="8" t="s">
        <v>243</v>
      </c>
      <c r="F23" s="8"/>
      <c r="G23" s="8"/>
      <c r="H23" s="8"/>
    </row>
    <row r="24" customFormat="false" ht="19.5" hidden="false" customHeight="true" outlineLevel="0" collapsed="false">
      <c r="A24" s="57" t="s">
        <v>244</v>
      </c>
      <c r="B24" s="57"/>
      <c r="C24" s="88" t="n">
        <f aca="false">C22-C23</f>
        <v>0</v>
      </c>
      <c r="D24" s="88"/>
      <c r="E24" s="8" t="str">
        <f aca="false">IF(C24&lt;0,"هشدار: بیش از رصید موجود درخواست شده است","باقی مانده − این درخواست")</f>
        <v>باقی مانده − این درخواست</v>
      </c>
      <c r="F24" s="8"/>
      <c r="G24" s="8"/>
      <c r="H24" s="8"/>
    </row>
    <row r="26" customFormat="false" ht="30" hidden="false" customHeight="true" outlineLevel="0" collapsed="false">
      <c r="A26" s="89" t="s">
        <v>245</v>
      </c>
      <c r="B26" s="89"/>
      <c r="C26" s="89"/>
      <c r="D26" s="89"/>
      <c r="E26" s="89"/>
      <c r="F26" s="89"/>
      <c r="G26" s="89"/>
      <c r="H26" s="89"/>
    </row>
    <row r="28" customFormat="false" ht="21.75" hidden="false" customHeight="true" outlineLevel="0" collapsed="false">
      <c r="A28" s="5" t="s">
        <v>209</v>
      </c>
      <c r="B28" s="5"/>
      <c r="C28" s="5"/>
      <c r="D28" s="5"/>
      <c r="E28" s="5"/>
      <c r="F28" s="5"/>
      <c r="G28" s="5"/>
      <c r="H28" s="5"/>
    </row>
    <row r="29" customFormat="false" ht="19.5" hidden="false" customHeight="true" outlineLevel="0" collapsed="false">
      <c r="A29" s="75" t="s">
        <v>246</v>
      </c>
      <c r="B29" s="75"/>
      <c r="C29" s="75" t="s">
        <v>247</v>
      </c>
      <c r="D29" s="75"/>
      <c r="E29" s="75" t="s">
        <v>248</v>
      </c>
      <c r="F29" s="75"/>
      <c r="G29" s="75" t="s">
        <v>249</v>
      </c>
      <c r="H29" s="75"/>
    </row>
    <row r="30" customFormat="false" ht="45.75" hidden="false" customHeight="true" outlineLevel="0" collapsed="false">
      <c r="A30" s="76"/>
      <c r="B30" s="76"/>
      <c r="C30" s="76"/>
      <c r="D30" s="76"/>
      <c r="E30" s="76"/>
      <c r="F30" s="76"/>
      <c r="G30" s="76"/>
      <c r="H30" s="76"/>
    </row>
    <row r="32" customFormat="false" ht="19.5" hidden="false" customHeight="true" outlineLevel="0" collapsed="false">
      <c r="A32" s="6" t="s">
        <v>250</v>
      </c>
      <c r="B32" s="6"/>
      <c r="C32" s="10"/>
      <c r="D32" s="10"/>
      <c r="E32" s="6" t="s">
        <v>251</v>
      </c>
      <c r="F32" s="10"/>
      <c r="G32" s="10"/>
      <c r="H32" s="10"/>
    </row>
    <row r="34" customFormat="false" ht="18" hidden="false" customHeight="true" outlineLevel="0" collapsed="false">
      <c r="A34" s="27" t="s">
        <v>74</v>
      </c>
      <c r="B34" s="27"/>
      <c r="C34" s="27"/>
      <c r="D34" s="27"/>
      <c r="E34" s="27"/>
      <c r="F34" s="27"/>
      <c r="G34" s="27"/>
      <c r="H34" s="27"/>
    </row>
    <row r="35" customFormat="false" ht="15" hidden="false" customHeight="true" outlineLevel="0" collapsed="false">
      <c r="A35" s="28" t="s">
        <v>75</v>
      </c>
      <c r="B35" s="28"/>
      <c r="C35" s="28"/>
      <c r="D35" s="28"/>
      <c r="E35" s="28"/>
      <c r="F35" s="28"/>
      <c r="G35" s="28"/>
      <c r="H35" s="28"/>
    </row>
    <row r="36" customFormat="false" ht="15" hidden="false" customHeight="true" outlineLevel="0" collapsed="false">
      <c r="A36" s="28" t="s">
        <v>76</v>
      </c>
      <c r="B36" s="28"/>
      <c r="C36" s="28"/>
      <c r="D36" s="28"/>
      <c r="E36" s="28"/>
      <c r="F36" s="28"/>
      <c r="G36" s="28"/>
      <c r="H36" s="28"/>
    </row>
    <row r="37" customFormat="false" ht="15" hidden="false" customHeight="true" outlineLevel="0" collapsed="false">
      <c r="A37" s="28" t="s">
        <v>77</v>
      </c>
      <c r="B37" s="28"/>
      <c r="C37" s="28"/>
      <c r="D37" s="28"/>
      <c r="E37" s="28"/>
      <c r="F37" s="28"/>
      <c r="G37" s="28"/>
      <c r="H37" s="28"/>
    </row>
    <row r="38" customFormat="false" ht="15" hidden="false" customHeight="true" outlineLevel="0" collapsed="false">
      <c r="A38" s="28" t="s">
        <v>78</v>
      </c>
      <c r="B38" s="28"/>
      <c r="C38" s="28"/>
      <c r="D38" s="28"/>
      <c r="E38" s="28"/>
      <c r="F38" s="28"/>
      <c r="G38" s="28"/>
      <c r="H38" s="28"/>
    </row>
    <row r="39" customFormat="false" ht="15" hidden="false" customHeight="true" outlineLevel="0" collapsed="false">
      <c r="A39" s="28" t="s">
        <v>79</v>
      </c>
      <c r="B39" s="28"/>
      <c r="C39" s="28"/>
      <c r="D39" s="28"/>
      <c r="E39" s="28"/>
      <c r="F39" s="28"/>
      <c r="G39" s="28"/>
      <c r="H39" s="28"/>
    </row>
    <row r="40" customFormat="false" ht="15" hidden="false" customHeight="true" outlineLevel="0" collapsed="false">
      <c r="A40" s="28" t="s">
        <v>252</v>
      </c>
      <c r="B40" s="28"/>
      <c r="C40" s="28"/>
      <c r="D40" s="28"/>
      <c r="E40" s="28"/>
      <c r="F40" s="28"/>
      <c r="G40" s="28"/>
      <c r="H40" s="28"/>
    </row>
    <row r="41" customFormat="false" ht="15" hidden="false" customHeight="true" outlineLevel="0" collapsed="false">
      <c r="A41" s="28" t="s">
        <v>253</v>
      </c>
      <c r="B41" s="28"/>
      <c r="C41" s="28"/>
      <c r="D41" s="28"/>
      <c r="E41" s="28"/>
      <c r="F41" s="28"/>
      <c r="G41" s="28"/>
      <c r="H41" s="28"/>
    </row>
  </sheetData>
  <mergeCells count="60">
    <mergeCell ref="A1:H1"/>
    <mergeCell ref="A2:H2"/>
    <mergeCell ref="A3:H3"/>
    <mergeCell ref="A4:H4"/>
    <mergeCell ref="A5:B5"/>
    <mergeCell ref="G5:H5"/>
    <mergeCell ref="A7:H7"/>
    <mergeCell ref="B8:C8"/>
    <mergeCell ref="G8:H8"/>
    <mergeCell ref="B9:C9"/>
    <mergeCell ref="G9:H9"/>
    <mergeCell ref="A11:H11"/>
    <mergeCell ref="B12:C12"/>
    <mergeCell ref="G12:H12"/>
    <mergeCell ref="B13:C13"/>
    <mergeCell ref="G13:H13"/>
    <mergeCell ref="B14:H14"/>
    <mergeCell ref="B15:H15"/>
    <mergeCell ref="B16:C16"/>
    <mergeCell ref="E16:H16"/>
    <mergeCell ref="A18:H18"/>
    <mergeCell ref="A19:B19"/>
    <mergeCell ref="C19:D19"/>
    <mergeCell ref="E19:H19"/>
    <mergeCell ref="A20:B20"/>
    <mergeCell ref="C20:D20"/>
    <mergeCell ref="E20:H20"/>
    <mergeCell ref="A21:B21"/>
    <mergeCell ref="C21:D21"/>
    <mergeCell ref="E21:H21"/>
    <mergeCell ref="A22:B22"/>
    <mergeCell ref="C22:D22"/>
    <mergeCell ref="E22:H22"/>
    <mergeCell ref="A23:B23"/>
    <mergeCell ref="C23:D23"/>
    <mergeCell ref="E23:H23"/>
    <mergeCell ref="A24:B24"/>
    <mergeCell ref="C24:D24"/>
    <mergeCell ref="E24:H24"/>
    <mergeCell ref="A26:H26"/>
    <mergeCell ref="A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2:B32"/>
    <mergeCell ref="C32:D32"/>
    <mergeCell ref="F32:H32"/>
    <mergeCell ref="A34:H34"/>
    <mergeCell ref="A35:H35"/>
    <mergeCell ref="A36:H36"/>
    <mergeCell ref="A37:H37"/>
    <mergeCell ref="A38:H38"/>
    <mergeCell ref="A39:H39"/>
    <mergeCell ref="A40:H40"/>
    <mergeCell ref="A41:H41"/>
  </mergeCells>
  <dataValidations count="2">
    <dataValidation allowBlank="true" errorStyle="stop" operator="between" showDropDown="false" showErrorMessage="false" showInputMessage="false" sqref="B12" type="list">
      <formula1>"رخصتی عادی,رخصتی مریضی,رخصتی اضطراری,رخصتی بدون معاش,سایر"</formula1>
      <formula2>0</formula2>
    </dataValidation>
    <dataValidation allowBlank="true" errorStyle="stop" operator="between" showDropDown="false" showErrorMessage="false" showInputMessage="false" sqref="C32" type="list">
      <formula1>"منظور شد,منظور نشد,قسماً منظور شد,در حال بررسی"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H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15"/>
    <col collapsed="false" customWidth="true" hidden="false" outlineLevel="0" max="4" min="4" style="1" width="20"/>
    <col collapsed="false" customWidth="true" hidden="false" outlineLevel="0" max="5" min="5" style="1" width="15"/>
    <col collapsed="false" customWidth="true" hidden="false" outlineLevel="0" max="6" min="6" style="1" width="18"/>
    <col collapsed="false" customWidth="true" hidden="false" outlineLevel="0" max="7" min="7" style="1" width="15"/>
    <col collapsed="false" customWidth="true" hidden="false" outlineLevel="0" max="8" min="8" style="1" width="20"/>
  </cols>
  <sheetData>
    <row r="1" customFormat="false" ht="21.75" hidden="false" customHeight="true" outlineLevel="0" collapsed="false">
      <c r="A1" s="29" t="str">
        <f aca="false">'فهرست و راهنما'!$C$5</f>
        <v>مؤسسهٔ خیریه، فرهنگی و اجتماعی منجی موعود ( عج )</v>
      </c>
      <c r="B1" s="29"/>
      <c r="C1" s="29"/>
      <c r="D1" s="29"/>
      <c r="E1" s="29"/>
      <c r="F1" s="29"/>
      <c r="G1" s="29"/>
      <c r="H1" s="29"/>
    </row>
    <row r="2" customFormat="false" ht="18" hidden="false" customHeight="true" outlineLevel="0" collapsed="false">
      <c r="A2" s="3" t="str">
        <f aca="false">'فهرست و راهنما'!$C$6</f>
        <v>تحت اشراف حاج آقای مصباح موسوی، نمایندهٔ مرجع عالیقدر شیعه حضرت آیت‌الله العظمی سیستانی ( دام ظله العالی )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30" t="str">
        <f aca="false">"فورم شروع و ختم ماموریت کارمندان"</f>
        <v>فورم شروع و ختم ماموریت کارمندان</v>
      </c>
      <c r="B3" s="30"/>
      <c r="C3" s="30"/>
      <c r="D3" s="30"/>
      <c r="E3" s="30"/>
      <c r="F3" s="30"/>
      <c r="G3" s="30"/>
      <c r="H3" s="30"/>
    </row>
    <row r="4" customFormat="false" ht="13.5" hidden="false" customHeight="true" outlineLevel="0" collapsed="false">
      <c r="A4" s="31" t="str">
        <f aca="false">"کود فورم:  HR-02"</f>
        <v>کود فورم:  HR-02</v>
      </c>
      <c r="B4" s="31"/>
      <c r="C4" s="31"/>
      <c r="D4" s="31"/>
      <c r="E4" s="31"/>
      <c r="F4" s="31"/>
      <c r="G4" s="31"/>
      <c r="H4" s="31"/>
    </row>
    <row r="5" customFormat="false" ht="19.5" hidden="false" customHeight="true" outlineLevel="0" collapsed="false">
      <c r="A5" s="6" t="s">
        <v>84</v>
      </c>
      <c r="B5" s="6"/>
      <c r="C5" s="10"/>
      <c r="D5" s="6" t="s">
        <v>82</v>
      </c>
      <c r="E5" s="10"/>
      <c r="F5" s="6" t="s">
        <v>98</v>
      </c>
      <c r="G5" s="25" t="str">
        <f aca="false">IF('فهرست و راهنما'!$C$7="","",'فهرست و راهنما'!$C$7&amp;"  –  ")&amp;'فهرست و راهنما'!$C$8&amp;" / "&amp;'فهرست و راهنما'!$C$9</f>
        <v> / </v>
      </c>
      <c r="H5" s="25"/>
    </row>
    <row r="6" customFormat="false" ht="6" hidden="false" customHeight="true" outlineLevel="0" collapsed="false"/>
    <row r="7" customFormat="false" ht="21.75" hidden="false" customHeight="true" outlineLevel="0" collapsed="false">
      <c r="A7" s="5" t="s">
        <v>254</v>
      </c>
      <c r="B7" s="5"/>
      <c r="C7" s="5"/>
      <c r="D7" s="5"/>
      <c r="E7" s="5"/>
      <c r="F7" s="5"/>
      <c r="G7" s="5"/>
      <c r="H7" s="5"/>
    </row>
    <row r="8" customFormat="false" ht="19.5" hidden="false" customHeight="true" outlineLevel="0" collapsed="false">
      <c r="A8" s="6" t="s">
        <v>255</v>
      </c>
      <c r="B8" s="10"/>
      <c r="C8" s="10"/>
      <c r="D8" s="6" t="s">
        <v>256</v>
      </c>
      <c r="E8" s="10"/>
      <c r="F8" s="6" t="s">
        <v>221</v>
      </c>
      <c r="G8" s="10"/>
      <c r="H8" s="10"/>
    </row>
    <row r="9" customFormat="false" ht="19.5" hidden="false" customHeight="true" outlineLevel="0" collapsed="false">
      <c r="A9" s="6" t="s">
        <v>257</v>
      </c>
      <c r="B9" s="10"/>
      <c r="C9" s="10"/>
      <c r="D9" s="6" t="s">
        <v>258</v>
      </c>
      <c r="E9" s="10"/>
      <c r="F9" s="6" t="s">
        <v>259</v>
      </c>
      <c r="G9" s="10"/>
      <c r="H9" s="10"/>
    </row>
    <row r="10" customFormat="false" ht="36" hidden="false" customHeight="true" outlineLevel="0" collapsed="false">
      <c r="A10" s="6" t="s">
        <v>260</v>
      </c>
      <c r="B10" s="9"/>
      <c r="C10" s="9"/>
      <c r="D10" s="9"/>
      <c r="E10" s="9"/>
      <c r="F10" s="9"/>
      <c r="G10" s="9"/>
      <c r="H10" s="9"/>
    </row>
    <row r="12" customFormat="false" ht="21.75" hidden="false" customHeight="true" outlineLevel="0" collapsed="false">
      <c r="A12" s="5" t="s">
        <v>261</v>
      </c>
      <c r="B12" s="5"/>
      <c r="C12" s="5"/>
      <c r="D12" s="5"/>
      <c r="E12" s="5"/>
      <c r="F12" s="5"/>
      <c r="G12" s="5"/>
      <c r="H12" s="5"/>
    </row>
    <row r="13" customFormat="false" ht="21.75" hidden="false" customHeight="true" outlineLevel="0" collapsed="false">
      <c r="A13" s="89" t="s">
        <v>262</v>
      </c>
      <c r="B13" s="89"/>
      <c r="C13" s="89"/>
      <c r="D13" s="89"/>
      <c r="E13" s="89"/>
      <c r="F13" s="89"/>
      <c r="G13" s="89"/>
      <c r="H13" s="89"/>
    </row>
    <row r="14" customFormat="false" ht="30" hidden="false" customHeight="true" outlineLevel="0" collapsed="false">
      <c r="A14" s="6" t="s">
        <v>263</v>
      </c>
      <c r="B14" s="10"/>
      <c r="C14" s="10"/>
      <c r="D14" s="6" t="s">
        <v>264</v>
      </c>
      <c r="E14" s="10"/>
      <c r="F14" s="6" t="s">
        <v>265</v>
      </c>
      <c r="G14" s="90"/>
      <c r="H14" s="90"/>
    </row>
    <row r="16" customFormat="false" ht="21.75" hidden="false" customHeight="true" outlineLevel="0" collapsed="false">
      <c r="A16" s="5" t="s">
        <v>266</v>
      </c>
      <c r="B16" s="5"/>
      <c r="C16" s="5"/>
      <c r="D16" s="5"/>
      <c r="E16" s="5"/>
      <c r="F16" s="5"/>
      <c r="G16" s="5"/>
      <c r="H16" s="5"/>
    </row>
    <row r="17" customFormat="false" ht="21.75" hidden="false" customHeight="true" outlineLevel="0" collapsed="false">
      <c r="A17" s="89" t="s">
        <v>267</v>
      </c>
      <c r="B17" s="89"/>
      <c r="C17" s="89"/>
      <c r="D17" s="89"/>
      <c r="E17" s="89"/>
      <c r="F17" s="89"/>
      <c r="G17" s="89"/>
      <c r="H17" s="89"/>
    </row>
    <row r="18" customFormat="false" ht="30" hidden="false" customHeight="true" outlineLevel="0" collapsed="false">
      <c r="A18" s="6" t="s">
        <v>268</v>
      </c>
      <c r="B18" s="10"/>
      <c r="C18" s="10"/>
      <c r="D18" s="6" t="s">
        <v>269</v>
      </c>
      <c r="E18" s="10"/>
      <c r="F18" s="6" t="s">
        <v>265</v>
      </c>
      <c r="G18" s="90"/>
      <c r="H18" s="90"/>
    </row>
    <row r="19" customFormat="false" ht="45.75" hidden="false" customHeight="true" outlineLevel="0" collapsed="false">
      <c r="A19" s="6" t="s">
        <v>270</v>
      </c>
      <c r="B19" s="9"/>
      <c r="C19" s="9"/>
      <c r="D19" s="9"/>
      <c r="E19" s="9"/>
      <c r="F19" s="9"/>
      <c r="G19" s="9"/>
      <c r="H19" s="9"/>
    </row>
    <row r="21" customFormat="false" ht="21.75" hidden="false" customHeight="true" outlineLevel="0" collapsed="false">
      <c r="A21" s="5" t="s">
        <v>271</v>
      </c>
      <c r="B21" s="5"/>
      <c r="C21" s="5"/>
      <c r="D21" s="5"/>
      <c r="E21" s="5"/>
      <c r="F21" s="5"/>
      <c r="G21" s="5"/>
      <c r="H21" s="5"/>
    </row>
    <row r="22" customFormat="false" ht="21.75" hidden="false" customHeight="true" outlineLevel="0" collapsed="false">
      <c r="A22" s="37" t="s">
        <v>234</v>
      </c>
      <c r="B22" s="37"/>
      <c r="C22" s="37" t="s">
        <v>272</v>
      </c>
      <c r="D22" s="37"/>
      <c r="E22" s="37" t="s">
        <v>139</v>
      </c>
      <c r="F22" s="37"/>
      <c r="G22" s="37"/>
      <c r="H22" s="37"/>
    </row>
    <row r="23" customFormat="false" ht="19.5" hidden="false" customHeight="true" outlineLevel="0" collapsed="false">
      <c r="A23" s="49" t="s">
        <v>273</v>
      </c>
      <c r="B23" s="49"/>
      <c r="C23" s="11"/>
      <c r="D23" s="11"/>
      <c r="E23" s="8" t="s">
        <v>274</v>
      </c>
      <c r="F23" s="8"/>
      <c r="G23" s="8"/>
      <c r="H23" s="8"/>
    </row>
    <row r="24" customFormat="false" ht="19.5" hidden="false" customHeight="true" outlineLevel="0" collapsed="false">
      <c r="A24" s="53" t="s">
        <v>275</v>
      </c>
      <c r="B24" s="53"/>
      <c r="C24" s="33"/>
      <c r="D24" s="33"/>
      <c r="E24" s="8" t="s">
        <v>237</v>
      </c>
      <c r="F24" s="8"/>
      <c r="G24" s="8"/>
      <c r="H24" s="8"/>
    </row>
    <row r="25" customFormat="false" ht="19.5" hidden="false" customHeight="true" outlineLevel="0" collapsed="false">
      <c r="A25" s="57" t="s">
        <v>276</v>
      </c>
      <c r="B25" s="57"/>
      <c r="C25" s="91" t="n">
        <f aca="false">C23*C24</f>
        <v>0</v>
      </c>
      <c r="D25" s="91"/>
      <c r="E25" s="8" t="s">
        <v>277</v>
      </c>
      <c r="F25" s="8"/>
      <c r="G25" s="8"/>
      <c r="H25" s="8"/>
    </row>
    <row r="26" customFormat="false" ht="19.5" hidden="false" customHeight="true" outlineLevel="0" collapsed="false">
      <c r="A26" s="53" t="s">
        <v>278</v>
      </c>
      <c r="B26" s="53"/>
      <c r="C26" s="33"/>
      <c r="D26" s="33"/>
      <c r="E26" s="8" t="s">
        <v>279</v>
      </c>
      <c r="F26" s="8"/>
      <c r="G26" s="8"/>
      <c r="H26" s="8"/>
    </row>
    <row r="27" customFormat="false" ht="19.5" hidden="false" customHeight="true" outlineLevel="0" collapsed="false">
      <c r="A27" s="49" t="s">
        <v>280</v>
      </c>
      <c r="B27" s="49"/>
      <c r="C27" s="33"/>
      <c r="D27" s="33"/>
      <c r="E27" s="8" t="s">
        <v>281</v>
      </c>
      <c r="F27" s="8"/>
      <c r="G27" s="8"/>
      <c r="H27" s="8"/>
    </row>
    <row r="28" customFormat="false" ht="19.5" hidden="false" customHeight="true" outlineLevel="0" collapsed="false">
      <c r="A28" s="57" t="s">
        <v>282</v>
      </c>
      <c r="B28" s="57"/>
      <c r="C28" s="91" t="n">
        <f aca="false">C25+C26-C27</f>
        <v>0</v>
      </c>
      <c r="D28" s="91"/>
      <c r="E28" s="8" t="s">
        <v>283</v>
      </c>
      <c r="F28" s="8"/>
      <c r="G28" s="8"/>
      <c r="H28" s="8"/>
    </row>
    <row r="30" customFormat="false" ht="21.75" hidden="false" customHeight="true" outlineLevel="0" collapsed="false">
      <c r="A30" s="5" t="s">
        <v>284</v>
      </c>
      <c r="B30" s="5"/>
      <c r="C30" s="5"/>
      <c r="D30" s="5"/>
      <c r="E30" s="5"/>
      <c r="F30" s="5"/>
      <c r="G30" s="5"/>
      <c r="H30" s="5"/>
    </row>
    <row r="31" customFormat="false" ht="19.5" hidden="false" customHeight="true" outlineLevel="0" collapsed="false">
      <c r="A31" s="75" t="s">
        <v>265</v>
      </c>
      <c r="B31" s="75"/>
      <c r="C31" s="75" t="s">
        <v>285</v>
      </c>
      <c r="D31" s="75"/>
      <c r="E31" s="75" t="s">
        <v>286</v>
      </c>
      <c r="F31" s="75"/>
      <c r="G31" s="75" t="s">
        <v>249</v>
      </c>
      <c r="H31" s="75"/>
    </row>
    <row r="32" customFormat="false" ht="45.75" hidden="false" customHeight="true" outlineLevel="0" collapsed="false">
      <c r="A32" s="76"/>
      <c r="B32" s="76"/>
      <c r="C32" s="76"/>
      <c r="D32" s="76"/>
      <c r="E32" s="76"/>
      <c r="F32" s="76"/>
      <c r="G32" s="76"/>
      <c r="H32" s="76"/>
    </row>
    <row r="34" customFormat="false" ht="18" hidden="false" customHeight="true" outlineLevel="0" collapsed="false">
      <c r="A34" s="27" t="s">
        <v>74</v>
      </c>
      <c r="B34" s="27"/>
      <c r="C34" s="27"/>
      <c r="D34" s="27"/>
      <c r="E34" s="27"/>
      <c r="F34" s="27"/>
      <c r="G34" s="27"/>
      <c r="H34" s="27"/>
    </row>
    <row r="35" customFormat="false" ht="15" hidden="false" customHeight="true" outlineLevel="0" collapsed="false">
      <c r="A35" s="28" t="s">
        <v>75</v>
      </c>
      <c r="B35" s="28"/>
      <c r="C35" s="28"/>
      <c r="D35" s="28"/>
      <c r="E35" s="28"/>
      <c r="F35" s="28"/>
      <c r="G35" s="28"/>
      <c r="H35" s="28"/>
    </row>
    <row r="36" customFormat="false" ht="15" hidden="false" customHeight="true" outlineLevel="0" collapsed="false">
      <c r="A36" s="28" t="s">
        <v>76</v>
      </c>
      <c r="B36" s="28"/>
      <c r="C36" s="28"/>
      <c r="D36" s="28"/>
      <c r="E36" s="28"/>
      <c r="F36" s="28"/>
      <c r="G36" s="28"/>
      <c r="H36" s="28"/>
    </row>
    <row r="37" customFormat="false" ht="15" hidden="false" customHeight="true" outlineLevel="0" collapsed="false">
      <c r="A37" s="28" t="s">
        <v>77</v>
      </c>
      <c r="B37" s="28"/>
      <c r="C37" s="28"/>
      <c r="D37" s="28"/>
      <c r="E37" s="28"/>
      <c r="F37" s="28"/>
      <c r="G37" s="28"/>
      <c r="H37" s="28"/>
    </row>
    <row r="38" customFormat="false" ht="15" hidden="false" customHeight="true" outlineLevel="0" collapsed="false">
      <c r="A38" s="28" t="s">
        <v>78</v>
      </c>
      <c r="B38" s="28"/>
      <c r="C38" s="28"/>
      <c r="D38" s="28"/>
      <c r="E38" s="28"/>
      <c r="F38" s="28"/>
      <c r="G38" s="28"/>
      <c r="H38" s="28"/>
    </row>
    <row r="39" customFormat="false" ht="15" hidden="false" customHeight="true" outlineLevel="0" collapsed="false">
      <c r="A39" s="28" t="s">
        <v>79</v>
      </c>
      <c r="B39" s="28"/>
      <c r="C39" s="28"/>
      <c r="D39" s="28"/>
      <c r="E39" s="28"/>
      <c r="F39" s="28"/>
      <c r="G39" s="28"/>
      <c r="H39" s="28"/>
    </row>
    <row r="40" customFormat="false" ht="15" hidden="false" customHeight="true" outlineLevel="0" collapsed="false">
      <c r="A40" s="28" t="s">
        <v>287</v>
      </c>
      <c r="B40" s="28"/>
      <c r="C40" s="28"/>
      <c r="D40" s="28"/>
      <c r="E40" s="28"/>
      <c r="F40" s="28"/>
      <c r="G40" s="28"/>
      <c r="H40" s="28"/>
    </row>
    <row r="41" customFormat="false" ht="15" hidden="false" customHeight="true" outlineLevel="0" collapsed="false">
      <c r="A41" s="28" t="s">
        <v>288</v>
      </c>
      <c r="B41" s="28"/>
      <c r="C41" s="28"/>
      <c r="D41" s="28"/>
      <c r="E41" s="28"/>
      <c r="F41" s="28"/>
      <c r="G41" s="28"/>
      <c r="H41" s="28"/>
    </row>
  </sheetData>
  <mergeCells count="60">
    <mergeCell ref="A1:H1"/>
    <mergeCell ref="A2:H2"/>
    <mergeCell ref="A3:H3"/>
    <mergeCell ref="A4:H4"/>
    <mergeCell ref="A5:B5"/>
    <mergeCell ref="G5:H5"/>
    <mergeCell ref="A7:H7"/>
    <mergeCell ref="B8:C8"/>
    <mergeCell ref="G8:H8"/>
    <mergeCell ref="B9:C9"/>
    <mergeCell ref="G9:H9"/>
    <mergeCell ref="B10:H10"/>
    <mergeCell ref="A12:H12"/>
    <mergeCell ref="A13:H13"/>
    <mergeCell ref="B14:C14"/>
    <mergeCell ref="G14:H14"/>
    <mergeCell ref="A16:H16"/>
    <mergeCell ref="A17:H17"/>
    <mergeCell ref="B18:C18"/>
    <mergeCell ref="G18:H18"/>
    <mergeCell ref="B19:H19"/>
    <mergeCell ref="A21:H21"/>
    <mergeCell ref="A22:B22"/>
    <mergeCell ref="C22:D22"/>
    <mergeCell ref="E22:H22"/>
    <mergeCell ref="A23:B23"/>
    <mergeCell ref="C23:D23"/>
    <mergeCell ref="E23:H23"/>
    <mergeCell ref="A24:B24"/>
    <mergeCell ref="C24:D24"/>
    <mergeCell ref="E24:H24"/>
    <mergeCell ref="A25:B25"/>
    <mergeCell ref="C25:D25"/>
    <mergeCell ref="E25:H25"/>
    <mergeCell ref="A26:B26"/>
    <mergeCell ref="C26:D26"/>
    <mergeCell ref="E26:H26"/>
    <mergeCell ref="A27:B27"/>
    <mergeCell ref="C27:D27"/>
    <mergeCell ref="E27:H27"/>
    <mergeCell ref="A28:B28"/>
    <mergeCell ref="C28:D28"/>
    <mergeCell ref="E28:H28"/>
    <mergeCell ref="A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4:H34"/>
    <mergeCell ref="A35:H35"/>
    <mergeCell ref="A36:H36"/>
    <mergeCell ref="A37:H37"/>
    <mergeCell ref="A38:H38"/>
    <mergeCell ref="A39:H39"/>
    <mergeCell ref="A40:H40"/>
    <mergeCell ref="A41:H41"/>
  </mergeCells>
  <dataValidations count="1">
    <dataValidation allowBlank="true" errorStyle="stop" operator="between" showDropDown="false" showErrorMessage="false" showInputMessage="false" sqref="E9" type="list">
      <formula1>"موتر مؤسسه,موتر کرایی,ترانسپورت عمومی,طیاره,سایر"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H4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15"/>
    <col collapsed="false" customWidth="true" hidden="false" outlineLevel="0" max="4" min="4" style="1" width="20"/>
    <col collapsed="false" customWidth="true" hidden="false" outlineLevel="0" max="5" min="5" style="1" width="15"/>
    <col collapsed="false" customWidth="true" hidden="false" outlineLevel="0" max="6" min="6" style="1" width="18"/>
    <col collapsed="false" customWidth="true" hidden="false" outlineLevel="0" max="7" min="7" style="1" width="15"/>
    <col collapsed="false" customWidth="true" hidden="false" outlineLevel="0" max="8" min="8" style="1" width="20"/>
  </cols>
  <sheetData>
    <row r="1" customFormat="false" ht="21.75" hidden="false" customHeight="true" outlineLevel="0" collapsed="false">
      <c r="A1" s="29" t="str">
        <f aca="false">'فهرست و راهنما'!$C$5</f>
        <v>مؤسسهٔ خیریه، فرهنگی و اجتماعی منجی موعود ( عج )</v>
      </c>
      <c r="B1" s="29"/>
      <c r="C1" s="29"/>
      <c r="D1" s="29"/>
      <c r="E1" s="29"/>
      <c r="F1" s="29"/>
      <c r="G1" s="29"/>
      <c r="H1" s="29"/>
    </row>
    <row r="2" customFormat="false" ht="18" hidden="false" customHeight="true" outlineLevel="0" collapsed="false">
      <c r="A2" s="3" t="str">
        <f aca="false">'فهرست و راهنما'!$C$6</f>
        <v>تحت اشراف حاج آقای مصباح موسوی، نمایندهٔ مرجع عالیقدر شیعه حضرت آیت‌الله العظمی سیستانی ( دام ظله العالی )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30" t="str">
        <f aca="false">"ورقهٔ وکالت موقت سرپرستی ایتام"</f>
        <v>ورقهٔ وکالت موقت سرپرستی ایتام</v>
      </c>
      <c r="B3" s="30"/>
      <c r="C3" s="30"/>
      <c r="D3" s="30"/>
      <c r="E3" s="30"/>
      <c r="F3" s="30"/>
      <c r="G3" s="30"/>
      <c r="H3" s="30"/>
    </row>
    <row r="4" customFormat="false" ht="13.5" hidden="false" customHeight="true" outlineLevel="0" collapsed="false">
      <c r="A4" s="31" t="str">
        <f aca="false">"کود فورم:  ORP-01"</f>
        <v>کود فورم:  ORP-01</v>
      </c>
      <c r="B4" s="31"/>
      <c r="C4" s="31"/>
      <c r="D4" s="31"/>
      <c r="E4" s="31"/>
      <c r="F4" s="31"/>
      <c r="G4" s="31"/>
      <c r="H4" s="31"/>
    </row>
    <row r="5" customFormat="false" ht="19.5" hidden="false" customHeight="true" outlineLevel="0" collapsed="false">
      <c r="A5" s="6" t="s">
        <v>84</v>
      </c>
      <c r="B5" s="6"/>
      <c r="C5" s="10"/>
      <c r="D5" s="6" t="s">
        <v>82</v>
      </c>
      <c r="E5" s="10"/>
      <c r="F5" s="6" t="s">
        <v>98</v>
      </c>
      <c r="G5" s="25" t="str">
        <f aca="false">IF('فهرست و راهنما'!$C$7="","",'فهرست و راهنما'!$C$7&amp;"  –  ")&amp;'فهرست و راهنما'!$C$8&amp;" / "&amp;'فهرست و راهنما'!$C$9</f>
        <v> / </v>
      </c>
      <c r="H5" s="25"/>
    </row>
    <row r="6" customFormat="false" ht="6" hidden="false" customHeight="true" outlineLevel="0" collapsed="false"/>
    <row r="7" customFormat="false" ht="21.75" hidden="false" customHeight="true" outlineLevel="0" collapsed="false">
      <c r="A7" s="5" t="s">
        <v>289</v>
      </c>
      <c r="B7" s="5"/>
      <c r="C7" s="5"/>
      <c r="D7" s="5"/>
      <c r="E7" s="5"/>
      <c r="F7" s="5"/>
      <c r="G7" s="5"/>
      <c r="H7" s="5"/>
    </row>
    <row r="8" customFormat="false" ht="19.5" hidden="false" customHeight="true" outlineLevel="0" collapsed="false">
      <c r="A8" s="6" t="s">
        <v>181</v>
      </c>
      <c r="B8" s="10"/>
      <c r="C8" s="10"/>
      <c r="D8" s="6" t="s">
        <v>290</v>
      </c>
      <c r="E8" s="10"/>
      <c r="F8" s="6" t="s">
        <v>207</v>
      </c>
      <c r="G8" s="10"/>
      <c r="H8" s="10"/>
    </row>
    <row r="9" customFormat="false" ht="19.5" hidden="false" customHeight="true" outlineLevel="0" collapsed="false">
      <c r="A9" s="6" t="s">
        <v>291</v>
      </c>
      <c r="B9" s="10"/>
      <c r="C9" s="10"/>
      <c r="D9" s="6" t="s">
        <v>208</v>
      </c>
      <c r="E9" s="10"/>
      <c r="F9" s="6" t="s">
        <v>292</v>
      </c>
      <c r="G9" s="7"/>
      <c r="H9" s="7"/>
    </row>
    <row r="10" customFormat="false" ht="19.5" hidden="false" customHeight="true" outlineLevel="0" collapsed="false">
      <c r="A10" s="6" t="s">
        <v>293</v>
      </c>
      <c r="B10" s="10"/>
      <c r="C10" s="10"/>
      <c r="D10" s="6" t="s">
        <v>224</v>
      </c>
      <c r="E10" s="10"/>
      <c r="F10" s="6" t="s">
        <v>225</v>
      </c>
      <c r="G10" s="10"/>
      <c r="H10" s="10"/>
    </row>
    <row r="12" customFormat="false" ht="21.75" hidden="false" customHeight="true" outlineLevel="0" collapsed="false">
      <c r="A12" s="5" t="s">
        <v>294</v>
      </c>
      <c r="B12" s="5"/>
      <c r="C12" s="5"/>
      <c r="D12" s="5"/>
      <c r="E12" s="5"/>
      <c r="F12" s="5"/>
      <c r="G12" s="5"/>
      <c r="H12" s="5"/>
    </row>
    <row r="13" customFormat="false" ht="19.5" hidden="false" customHeight="true" outlineLevel="0" collapsed="false">
      <c r="A13" s="6" t="s">
        <v>181</v>
      </c>
      <c r="B13" s="10"/>
      <c r="C13" s="10"/>
      <c r="D13" s="6" t="s">
        <v>290</v>
      </c>
      <c r="E13" s="10"/>
      <c r="F13" s="6" t="s">
        <v>207</v>
      </c>
      <c r="G13" s="10"/>
      <c r="H13" s="10"/>
    </row>
    <row r="14" customFormat="false" ht="19.5" hidden="false" customHeight="true" outlineLevel="0" collapsed="false">
      <c r="A14" s="6" t="s">
        <v>295</v>
      </c>
      <c r="B14" s="10"/>
      <c r="C14" s="10"/>
      <c r="D14" s="6" t="s">
        <v>208</v>
      </c>
      <c r="E14" s="10"/>
      <c r="F14" s="6" t="s">
        <v>292</v>
      </c>
      <c r="G14" s="7"/>
      <c r="H14" s="7"/>
    </row>
    <row r="16" customFormat="false" ht="21.75" hidden="false" customHeight="true" outlineLevel="0" collapsed="false">
      <c r="A16" s="5" t="s">
        <v>296</v>
      </c>
      <c r="B16" s="5"/>
      <c r="C16" s="5"/>
      <c r="D16" s="5"/>
      <c r="E16" s="5"/>
      <c r="F16" s="5"/>
      <c r="G16" s="5"/>
      <c r="H16" s="5"/>
    </row>
    <row r="17" customFormat="false" ht="21.75" hidden="false" customHeight="true" outlineLevel="0" collapsed="false">
      <c r="A17" s="12" t="s">
        <v>81</v>
      </c>
      <c r="B17" s="12" t="s">
        <v>297</v>
      </c>
      <c r="C17" s="12"/>
      <c r="D17" s="12" t="s">
        <v>298</v>
      </c>
      <c r="E17" s="12" t="s">
        <v>299</v>
      </c>
      <c r="F17" s="12" t="s">
        <v>300</v>
      </c>
      <c r="G17" s="12" t="s">
        <v>113</v>
      </c>
      <c r="H17" s="12"/>
    </row>
    <row r="18" customFormat="false" ht="18.75" hidden="false" customHeight="true" outlineLevel="0" collapsed="false">
      <c r="A18" s="13" t="n">
        <v>1</v>
      </c>
      <c r="B18" s="7"/>
      <c r="C18" s="7"/>
      <c r="D18" s="10"/>
      <c r="E18" s="10"/>
      <c r="F18" s="11"/>
      <c r="G18" s="7"/>
      <c r="H18" s="7"/>
    </row>
    <row r="19" customFormat="false" ht="18.75" hidden="false" customHeight="true" outlineLevel="0" collapsed="false">
      <c r="A19" s="18" t="n">
        <v>2</v>
      </c>
      <c r="B19" s="7"/>
      <c r="C19" s="7"/>
      <c r="D19" s="10"/>
      <c r="E19" s="10"/>
      <c r="F19" s="11"/>
      <c r="G19" s="7"/>
      <c r="H19" s="7"/>
    </row>
    <row r="20" customFormat="false" ht="18.75" hidden="false" customHeight="true" outlineLevel="0" collapsed="false">
      <c r="A20" s="13" t="n">
        <v>3</v>
      </c>
      <c r="B20" s="7"/>
      <c r="C20" s="7"/>
      <c r="D20" s="10"/>
      <c r="E20" s="10"/>
      <c r="F20" s="11"/>
      <c r="G20" s="7"/>
      <c r="H20" s="7"/>
    </row>
    <row r="21" customFormat="false" ht="18.75" hidden="false" customHeight="true" outlineLevel="0" collapsed="false">
      <c r="A21" s="18" t="n">
        <v>4</v>
      </c>
      <c r="B21" s="7"/>
      <c r="C21" s="7"/>
      <c r="D21" s="10"/>
      <c r="E21" s="10"/>
      <c r="F21" s="11"/>
      <c r="G21" s="7"/>
      <c r="H21" s="7"/>
    </row>
    <row r="22" customFormat="false" ht="18.75" hidden="false" customHeight="true" outlineLevel="0" collapsed="false">
      <c r="A22" s="13" t="n">
        <v>5</v>
      </c>
      <c r="B22" s="7"/>
      <c r="C22" s="7"/>
      <c r="D22" s="10"/>
      <c r="E22" s="10"/>
      <c r="F22" s="11"/>
      <c r="G22" s="7"/>
      <c r="H22" s="7"/>
    </row>
    <row r="23" customFormat="false" ht="18.75" hidden="false" customHeight="true" outlineLevel="0" collapsed="false">
      <c r="A23" s="18" t="n">
        <v>6</v>
      </c>
      <c r="B23" s="7"/>
      <c r="C23" s="7"/>
      <c r="D23" s="10"/>
      <c r="E23" s="10"/>
      <c r="F23" s="11"/>
      <c r="G23" s="7"/>
      <c r="H23" s="7"/>
    </row>
    <row r="24" customFormat="false" ht="21" hidden="false" customHeight="true" outlineLevel="0" collapsed="false">
      <c r="A24" s="45" t="s">
        <v>301</v>
      </c>
      <c r="B24" s="45"/>
      <c r="C24" s="45"/>
      <c r="D24" s="45"/>
      <c r="E24" s="45"/>
      <c r="F24" s="92" t="n">
        <f aca="false">COUNTA(B18:B23)</f>
        <v>0</v>
      </c>
      <c r="G24" s="74"/>
      <c r="H24" s="74"/>
    </row>
    <row r="26" customFormat="false" ht="21.75" hidden="false" customHeight="true" outlineLevel="0" collapsed="false">
      <c r="A26" s="5" t="s">
        <v>302</v>
      </c>
      <c r="B26" s="5"/>
      <c r="C26" s="5"/>
      <c r="D26" s="5"/>
      <c r="E26" s="5"/>
      <c r="F26" s="5"/>
      <c r="G26" s="5"/>
      <c r="H26" s="5"/>
    </row>
    <row r="27" customFormat="false" ht="61.5" hidden="false" customHeight="true" outlineLevel="0" collapsed="false">
      <c r="A27" s="93" t="str">
        <f aca="false">"اینجانب "&amp;B8&amp;" فرزند "&amp;E8&amp;"، دارندهٔ تذکرهٔ شماره "&amp;G8&amp;"، به‌عنوان سرپرست قانونی ایتام با کد ( "&amp;B9&amp;" ) اعلام می‌دارم:  به دلیل "&amp;B10&amp;" از تاریخ "&amp;E10&amp;" الی "&amp;G10&amp;" قادر به پیگیری مستقیم امور مربوط به دریافت شهریه نمی‌باشم.  بدین وسیله آقای / خانم "&amp;B13&amp;" فرزند "&amp;E13&amp;"، دارندهٔ تذکرهٔ شماره "&amp;G13&amp;"، را به‌طور موقت الی تاریخ ( "&amp;G10&amp;" ) به‌عنوان نماینده و وکیل خود تعیین می‌نمایم تا در مدت فوق‌الذکر کلیهٔ امور مربوط به دریافت شهریهٔ ایتام تحت سرپرستی‌ام را از جانب اینجانب دریافت نماید."</f>
        <v>اینجانب  فرزند ، دارندهٔ تذکرهٔ شماره ، به‌عنوان سرپرست قانونی ایتام با کد (  ) اعلام می‌دارم:  به دلیل  از تاریخ  الی  قادر به پیگیری مستقیم امور مربوط به دریافت شهریه نمی‌باشم.  بدین وسیله آقای / خانم  فرزند ، دارندهٔ تذکرهٔ شماره ، را به‌طور موقت الی تاریخ (  ) به‌عنوان نماینده و وکیل خود تعیین می‌نمایم تا در مدت فوق‌الذکر کلیهٔ امور مربوط به دریافت شهریهٔ ایتام تحت سرپرستی‌ام را از جانب اینجانب دریافت نماید.</v>
      </c>
      <c r="B27" s="93"/>
      <c r="C27" s="93"/>
      <c r="D27" s="93"/>
      <c r="E27" s="93"/>
      <c r="F27" s="93"/>
      <c r="G27" s="93"/>
      <c r="H27" s="93"/>
    </row>
    <row r="28" customFormat="false" ht="30" hidden="false" customHeight="true" outlineLevel="0" collapsed="false">
      <c r="A28" s="89" t="s">
        <v>303</v>
      </c>
      <c r="B28" s="89"/>
      <c r="C28" s="89"/>
      <c r="D28" s="89"/>
      <c r="E28" s="89"/>
      <c r="F28" s="89"/>
      <c r="G28" s="89"/>
      <c r="H28" s="89"/>
    </row>
    <row r="30" customFormat="false" ht="21" hidden="false" customHeight="true" outlineLevel="0" collapsed="false">
      <c r="A30" s="6" t="s">
        <v>304</v>
      </c>
      <c r="B30" s="6"/>
      <c r="C30" s="10"/>
      <c r="D30" s="10"/>
      <c r="E30" s="6" t="s">
        <v>305</v>
      </c>
      <c r="F30" s="6"/>
      <c r="G30" s="26" t="str">
        <f aca="false">IF(G10="","",G10)</f>
        <v/>
      </c>
      <c r="H30" s="26"/>
    </row>
    <row r="32" customFormat="false" ht="21.75" hidden="false" customHeight="true" outlineLevel="0" collapsed="false">
      <c r="A32" s="5" t="s">
        <v>306</v>
      </c>
      <c r="B32" s="5"/>
      <c r="C32" s="5"/>
      <c r="D32" s="5"/>
      <c r="E32" s="5"/>
      <c r="F32" s="5"/>
      <c r="G32" s="5"/>
      <c r="H32" s="5"/>
    </row>
    <row r="33" customFormat="false" ht="19.5" hidden="false" customHeight="true" outlineLevel="0" collapsed="false">
      <c r="A33" s="75" t="s">
        <v>307</v>
      </c>
      <c r="B33" s="75"/>
      <c r="C33" s="75" t="s">
        <v>308</v>
      </c>
      <c r="D33" s="75"/>
      <c r="E33" s="75" t="s">
        <v>309</v>
      </c>
      <c r="F33" s="75"/>
      <c r="G33" s="75" t="s">
        <v>310</v>
      </c>
      <c r="H33" s="75"/>
    </row>
    <row r="34" customFormat="false" ht="49.5" hidden="false" customHeight="true" outlineLevel="0" collapsed="false">
      <c r="A34" s="76"/>
      <c r="B34" s="76"/>
      <c r="C34" s="76"/>
      <c r="D34" s="76"/>
      <c r="E34" s="76"/>
      <c r="F34" s="76"/>
      <c r="G34" s="76"/>
      <c r="H34" s="76"/>
    </row>
    <row r="35" customFormat="false" ht="19.5" hidden="false" customHeight="true" outlineLevel="0" collapsed="false">
      <c r="A35" s="75" t="s">
        <v>311</v>
      </c>
      <c r="B35" s="75"/>
      <c r="C35" s="75"/>
      <c r="D35" s="75"/>
      <c r="E35" s="75" t="s">
        <v>312</v>
      </c>
      <c r="F35" s="75"/>
      <c r="G35" s="75"/>
      <c r="H35" s="75"/>
    </row>
    <row r="36" customFormat="false" ht="43.5" hidden="false" customHeight="true" outlineLevel="0" collapsed="false">
      <c r="A36" s="76"/>
      <c r="B36" s="76"/>
      <c r="C36" s="76"/>
      <c r="D36" s="76"/>
      <c r="E36" s="76"/>
      <c r="F36" s="76"/>
      <c r="G36" s="76"/>
      <c r="H36" s="76"/>
    </row>
    <row r="38" customFormat="false" ht="18" hidden="false" customHeight="true" outlineLevel="0" collapsed="false">
      <c r="A38" s="27" t="s">
        <v>74</v>
      </c>
      <c r="B38" s="27"/>
      <c r="C38" s="27"/>
      <c r="D38" s="27"/>
      <c r="E38" s="27"/>
      <c r="F38" s="27"/>
      <c r="G38" s="27"/>
      <c r="H38" s="27"/>
    </row>
    <row r="39" customFormat="false" ht="15" hidden="false" customHeight="true" outlineLevel="0" collapsed="false">
      <c r="A39" s="28" t="s">
        <v>75</v>
      </c>
      <c r="B39" s="28"/>
      <c r="C39" s="28"/>
      <c r="D39" s="28"/>
      <c r="E39" s="28"/>
      <c r="F39" s="28"/>
      <c r="G39" s="28"/>
      <c r="H39" s="28"/>
    </row>
    <row r="40" customFormat="false" ht="15" hidden="false" customHeight="true" outlineLevel="0" collapsed="false">
      <c r="A40" s="28" t="s">
        <v>76</v>
      </c>
      <c r="B40" s="28"/>
      <c r="C40" s="28"/>
      <c r="D40" s="28"/>
      <c r="E40" s="28"/>
      <c r="F40" s="28"/>
      <c r="G40" s="28"/>
      <c r="H40" s="28"/>
    </row>
    <row r="41" customFormat="false" ht="15" hidden="false" customHeight="true" outlineLevel="0" collapsed="false">
      <c r="A41" s="28" t="s">
        <v>77</v>
      </c>
      <c r="B41" s="28"/>
      <c r="C41" s="28"/>
      <c r="D41" s="28"/>
      <c r="E41" s="28"/>
      <c r="F41" s="28"/>
      <c r="G41" s="28"/>
      <c r="H41" s="28"/>
    </row>
    <row r="42" customFormat="false" ht="15" hidden="false" customHeight="true" outlineLevel="0" collapsed="false">
      <c r="A42" s="28" t="s">
        <v>78</v>
      </c>
      <c r="B42" s="28"/>
      <c r="C42" s="28"/>
      <c r="D42" s="28"/>
      <c r="E42" s="28"/>
      <c r="F42" s="28"/>
      <c r="G42" s="28"/>
      <c r="H42" s="28"/>
    </row>
    <row r="43" customFormat="false" ht="15" hidden="false" customHeight="true" outlineLevel="0" collapsed="false">
      <c r="A43" s="28" t="s">
        <v>79</v>
      </c>
      <c r="B43" s="28"/>
      <c r="C43" s="28"/>
      <c r="D43" s="28"/>
      <c r="E43" s="28"/>
      <c r="F43" s="28"/>
      <c r="G43" s="28"/>
      <c r="H43" s="28"/>
    </row>
    <row r="44" customFormat="false" ht="15" hidden="false" customHeight="true" outlineLevel="0" collapsed="false">
      <c r="A44" s="28" t="s">
        <v>313</v>
      </c>
      <c r="B44" s="28"/>
      <c r="C44" s="28"/>
      <c r="D44" s="28"/>
      <c r="E44" s="28"/>
      <c r="F44" s="28"/>
      <c r="G44" s="28"/>
      <c r="H44" s="28"/>
    </row>
    <row r="45" customFormat="false" ht="15" hidden="false" customHeight="true" outlineLevel="0" collapsed="false">
      <c r="A45" s="28" t="s">
        <v>314</v>
      </c>
      <c r="B45" s="28"/>
      <c r="C45" s="28"/>
      <c r="D45" s="28"/>
      <c r="E45" s="28"/>
      <c r="F45" s="28"/>
      <c r="G45" s="28"/>
      <c r="H45" s="28"/>
    </row>
  </sheetData>
  <mergeCells count="63">
    <mergeCell ref="A1:H1"/>
    <mergeCell ref="A2:H2"/>
    <mergeCell ref="A3:H3"/>
    <mergeCell ref="A4:H4"/>
    <mergeCell ref="A5:B5"/>
    <mergeCell ref="G5:H5"/>
    <mergeCell ref="A7:H7"/>
    <mergeCell ref="B8:C8"/>
    <mergeCell ref="G8:H8"/>
    <mergeCell ref="B9:C9"/>
    <mergeCell ref="G9:H9"/>
    <mergeCell ref="B10:C10"/>
    <mergeCell ref="G10:H10"/>
    <mergeCell ref="A12:H12"/>
    <mergeCell ref="B13:C13"/>
    <mergeCell ref="G13:H13"/>
    <mergeCell ref="B14:C14"/>
    <mergeCell ref="G14:H14"/>
    <mergeCell ref="A16:H16"/>
    <mergeCell ref="B17:C17"/>
    <mergeCell ref="G17:H17"/>
    <mergeCell ref="B18:C18"/>
    <mergeCell ref="G18:H18"/>
    <mergeCell ref="B19:C19"/>
    <mergeCell ref="G19:H19"/>
    <mergeCell ref="B20:C20"/>
    <mergeCell ref="G20:H20"/>
    <mergeCell ref="B21:C21"/>
    <mergeCell ref="G21:H21"/>
    <mergeCell ref="B22:C22"/>
    <mergeCell ref="G22:H22"/>
    <mergeCell ref="B23:C23"/>
    <mergeCell ref="G23:H23"/>
    <mergeCell ref="A24:E24"/>
    <mergeCell ref="G24:H24"/>
    <mergeCell ref="A26:H26"/>
    <mergeCell ref="A27:H27"/>
    <mergeCell ref="A28:H28"/>
    <mergeCell ref="A30:B30"/>
    <mergeCell ref="C30:D30"/>
    <mergeCell ref="E30:F30"/>
    <mergeCell ref="G30:H30"/>
    <mergeCell ref="A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D35"/>
    <mergeCell ref="E35:H35"/>
    <mergeCell ref="A36:D36"/>
    <mergeCell ref="E36:H36"/>
    <mergeCell ref="A38:H38"/>
    <mergeCell ref="A39:H39"/>
    <mergeCell ref="A40:H40"/>
    <mergeCell ref="A41:H41"/>
    <mergeCell ref="A42:H42"/>
    <mergeCell ref="A43:H43"/>
    <mergeCell ref="A44:H44"/>
    <mergeCell ref="A45:H45"/>
  </mergeCells>
  <dataValidations count="1">
    <dataValidation allowBlank="true" errorStyle="stop" operator="between" showDropDown="false" showErrorMessage="false" showInputMessage="false" sqref="B10" type="list">
      <formula1>"سفر,بیماری,کهولت سن,معلولیت,عدم حضور در ولایت,سایر"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8B"/>
    <pageSetUpPr fitToPage="true"/>
  </sheetPr>
  <dimension ref="A1:H4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15"/>
    <col collapsed="false" customWidth="true" hidden="false" outlineLevel="0" max="4" min="4" style="1" width="20"/>
    <col collapsed="false" customWidth="true" hidden="false" outlineLevel="0" max="5" min="5" style="1" width="15"/>
    <col collapsed="false" customWidth="true" hidden="false" outlineLevel="0" max="6" min="6" style="1" width="18"/>
    <col collapsed="false" customWidth="true" hidden="false" outlineLevel="0" max="7" min="7" style="1" width="15"/>
    <col collapsed="false" customWidth="true" hidden="false" outlineLevel="0" max="8" min="8" style="1" width="20"/>
  </cols>
  <sheetData>
    <row r="1" customFormat="false" ht="21.75" hidden="false" customHeight="true" outlineLevel="0" collapsed="false">
      <c r="A1" s="29" t="str">
        <f aca="false">'فهرست و راهنما'!$C$5</f>
        <v>مؤسسهٔ خیریه، فرهنگی و اجتماعی منجی موعود ( عج )</v>
      </c>
      <c r="B1" s="29"/>
      <c r="C1" s="29"/>
      <c r="D1" s="29"/>
      <c r="E1" s="29"/>
      <c r="F1" s="29"/>
      <c r="G1" s="29"/>
      <c r="H1" s="29"/>
    </row>
    <row r="2" customFormat="false" ht="18" hidden="false" customHeight="true" outlineLevel="0" collapsed="false">
      <c r="A2" s="3" t="str">
        <f aca="false">'فهرست و راهنما'!$C$6</f>
        <v>تحت اشراف حاج آقای مصباح موسوی، نمایندهٔ مرجع عالیقدر شیعه حضرت آیت‌الله العظمی سیستانی ( دام ظله العالی )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30" t="str">
        <f aca="false">"قرارداد خدمات ترانسپورت"</f>
        <v>قرارداد خدمات ترانسپورت</v>
      </c>
      <c r="B3" s="30"/>
      <c r="C3" s="30"/>
      <c r="D3" s="30"/>
      <c r="E3" s="30"/>
      <c r="F3" s="30"/>
      <c r="G3" s="30"/>
      <c r="H3" s="30"/>
    </row>
    <row r="4" customFormat="false" ht="13.5" hidden="false" customHeight="true" outlineLevel="0" collapsed="false">
      <c r="A4" s="31" t="str">
        <f aca="false">"کود فورم:  CON-01"</f>
        <v>کود فورم:  CON-01</v>
      </c>
      <c r="B4" s="31"/>
      <c r="C4" s="31"/>
      <c r="D4" s="31"/>
      <c r="E4" s="31"/>
      <c r="F4" s="31"/>
      <c r="G4" s="31"/>
      <c r="H4" s="31"/>
    </row>
    <row r="5" customFormat="false" ht="19.5" hidden="false" customHeight="true" outlineLevel="0" collapsed="false">
      <c r="A5" s="6" t="s">
        <v>84</v>
      </c>
      <c r="B5" s="6"/>
      <c r="C5" s="10"/>
      <c r="D5" s="6" t="s">
        <v>82</v>
      </c>
      <c r="E5" s="10"/>
      <c r="F5" s="6" t="s">
        <v>98</v>
      </c>
      <c r="G5" s="25" t="str">
        <f aca="false">IF('فهرست و راهنما'!$C$7="","",'فهرست و راهنما'!$C$7&amp;"  –  ")&amp;'فهرست و راهنما'!$C$8&amp;" / "&amp;'فهرست و راهنما'!$C$9</f>
        <v> / </v>
      </c>
      <c r="H5" s="25"/>
    </row>
    <row r="6" customFormat="false" ht="6" hidden="false" customHeight="true" outlineLevel="0" collapsed="false"/>
    <row r="7" customFormat="false" ht="21.75" hidden="false" customHeight="true" outlineLevel="0" collapsed="false">
      <c r="A7" s="5" t="s">
        <v>315</v>
      </c>
      <c r="B7" s="5"/>
      <c r="C7" s="5"/>
      <c r="D7" s="5"/>
      <c r="E7" s="5"/>
      <c r="F7" s="5"/>
      <c r="G7" s="5"/>
      <c r="H7" s="5"/>
    </row>
    <row r="8" customFormat="false" ht="19.5" hidden="false" customHeight="true" outlineLevel="0" collapsed="false">
      <c r="A8" s="6" t="s">
        <v>316</v>
      </c>
      <c r="B8" s="25" t="str">
        <f aca="false">IF('فهرست و راهنما'!$C$7="","",'فهرست و راهنما'!$C$7)</f>
        <v/>
      </c>
      <c r="C8" s="25"/>
      <c r="D8" s="6" t="s">
        <v>317</v>
      </c>
      <c r="E8" s="66" t="str">
        <f aca="false">IF('فهرست و راهنما'!$C$10="","",'فهرست و راهنما'!$C$10)</f>
        <v/>
      </c>
      <c r="F8" s="6" t="s">
        <v>208</v>
      </c>
      <c r="G8" s="25" t="str">
        <f aca="false">IF('فهرست و راهنما'!$C$12="","",'فهرست و راهنما'!$C$12)</f>
        <v/>
      </c>
      <c r="H8" s="25"/>
    </row>
    <row r="9" customFormat="false" ht="19.5" hidden="false" customHeight="true" outlineLevel="0" collapsed="false">
      <c r="A9" s="6" t="s">
        <v>318</v>
      </c>
      <c r="B9" s="10"/>
      <c r="C9" s="10"/>
      <c r="D9" s="6" t="s">
        <v>298</v>
      </c>
      <c r="E9" s="10"/>
      <c r="F9" s="6" t="s">
        <v>207</v>
      </c>
      <c r="G9" s="10"/>
      <c r="H9" s="10"/>
    </row>
    <row r="10" customFormat="false" ht="19.5" hidden="false" customHeight="true" outlineLevel="0" collapsed="false">
      <c r="A10" s="6" t="s">
        <v>319</v>
      </c>
      <c r="B10" s="10"/>
      <c r="C10" s="10"/>
      <c r="D10" s="6" t="s">
        <v>292</v>
      </c>
      <c r="E10" s="7"/>
      <c r="F10" s="7"/>
      <c r="G10" s="7"/>
      <c r="H10" s="7"/>
    </row>
    <row r="12" customFormat="false" ht="21.75" hidden="false" customHeight="true" outlineLevel="0" collapsed="false">
      <c r="A12" s="5" t="s">
        <v>320</v>
      </c>
      <c r="B12" s="5"/>
      <c r="C12" s="5"/>
      <c r="D12" s="5"/>
      <c r="E12" s="5"/>
      <c r="F12" s="5"/>
      <c r="G12" s="5"/>
      <c r="H12" s="5"/>
    </row>
    <row r="13" customFormat="false" ht="19.5" hidden="false" customHeight="true" outlineLevel="0" collapsed="false">
      <c r="A13" s="6" t="s">
        <v>321</v>
      </c>
      <c r="B13" s="10"/>
      <c r="C13" s="10"/>
      <c r="D13" s="6" t="s">
        <v>322</v>
      </c>
      <c r="E13" s="10"/>
      <c r="F13" s="6" t="s">
        <v>323</v>
      </c>
      <c r="G13" s="10"/>
      <c r="H13" s="10"/>
    </row>
    <row r="14" customFormat="false" ht="21.75" hidden="false" customHeight="true" outlineLevel="0" collapsed="false">
      <c r="A14" s="6" t="s">
        <v>324</v>
      </c>
      <c r="B14" s="7"/>
      <c r="C14" s="7"/>
      <c r="D14" s="7"/>
      <c r="E14" s="7"/>
      <c r="F14" s="7"/>
      <c r="G14" s="7"/>
      <c r="H14" s="7"/>
    </row>
    <row r="15" customFormat="false" ht="19.5" hidden="false" customHeight="true" outlineLevel="0" collapsed="false">
      <c r="A15" s="6" t="s">
        <v>325</v>
      </c>
      <c r="B15" s="10"/>
      <c r="C15" s="10"/>
      <c r="D15" s="6" t="s">
        <v>224</v>
      </c>
      <c r="E15" s="10"/>
      <c r="F15" s="6" t="s">
        <v>225</v>
      </c>
      <c r="G15" s="10"/>
      <c r="H15" s="10"/>
    </row>
    <row r="17" customFormat="false" ht="21.75" hidden="false" customHeight="true" outlineLevel="0" collapsed="false">
      <c r="A17" s="5" t="s">
        <v>326</v>
      </c>
      <c r="B17" s="5"/>
      <c r="C17" s="5"/>
      <c r="D17" s="5"/>
      <c r="E17" s="5"/>
      <c r="F17" s="5"/>
      <c r="G17" s="5"/>
      <c r="H17" s="5"/>
    </row>
    <row r="18" customFormat="false" ht="21.75" hidden="false" customHeight="true" outlineLevel="0" collapsed="false">
      <c r="A18" s="37" t="s">
        <v>234</v>
      </c>
      <c r="B18" s="37"/>
      <c r="C18" s="37" t="s">
        <v>327</v>
      </c>
      <c r="D18" s="37"/>
      <c r="E18" s="37" t="s">
        <v>139</v>
      </c>
      <c r="F18" s="37"/>
      <c r="G18" s="37"/>
      <c r="H18" s="37"/>
    </row>
    <row r="19" customFormat="false" ht="19.5" hidden="false" customHeight="true" outlineLevel="0" collapsed="false">
      <c r="A19" s="49" t="s">
        <v>328</v>
      </c>
      <c r="B19" s="49"/>
      <c r="C19" s="33"/>
      <c r="D19" s="33"/>
      <c r="E19" s="8" t="s">
        <v>329</v>
      </c>
      <c r="F19" s="8"/>
      <c r="G19" s="8"/>
      <c r="H19" s="8"/>
    </row>
    <row r="20" customFormat="false" ht="19.5" hidden="false" customHeight="true" outlineLevel="0" collapsed="false">
      <c r="A20" s="53" t="s">
        <v>330</v>
      </c>
      <c r="B20" s="53"/>
      <c r="C20" s="11"/>
      <c r="D20" s="11"/>
      <c r="E20" s="8" t="s">
        <v>331</v>
      </c>
      <c r="F20" s="8"/>
      <c r="G20" s="8"/>
      <c r="H20" s="8"/>
    </row>
    <row r="21" customFormat="false" ht="19.5" hidden="false" customHeight="true" outlineLevel="0" collapsed="false">
      <c r="A21" s="57" t="s">
        <v>332</v>
      </c>
      <c r="B21" s="57"/>
      <c r="C21" s="91" t="n">
        <f aca="false">C19*C20</f>
        <v>0</v>
      </c>
      <c r="D21" s="91"/>
      <c r="E21" s="8" t="s">
        <v>333</v>
      </c>
      <c r="F21" s="8"/>
      <c r="G21" s="8"/>
      <c r="H21" s="8"/>
    </row>
    <row r="22" customFormat="false" ht="19.5" hidden="false" customHeight="true" outlineLevel="0" collapsed="false">
      <c r="A22" s="53" t="s">
        <v>334</v>
      </c>
      <c r="B22" s="53"/>
      <c r="C22" s="33"/>
      <c r="D22" s="33"/>
      <c r="E22" s="8" t="s">
        <v>335</v>
      </c>
      <c r="F22" s="8"/>
      <c r="G22" s="8"/>
      <c r="H22" s="8"/>
    </row>
    <row r="23" customFormat="false" ht="19.5" hidden="false" customHeight="true" outlineLevel="0" collapsed="false">
      <c r="A23" s="49" t="s">
        <v>336</v>
      </c>
      <c r="B23" s="49"/>
      <c r="C23" s="10"/>
      <c r="D23" s="10"/>
      <c r="E23" s="8" t="s">
        <v>337</v>
      </c>
      <c r="F23" s="8"/>
      <c r="G23" s="8"/>
      <c r="H23" s="8"/>
    </row>
    <row r="25" customFormat="false" ht="19.5" hidden="false" customHeight="true" outlineLevel="0" collapsed="false">
      <c r="A25" s="6" t="s">
        <v>338</v>
      </c>
      <c r="B25" s="6"/>
      <c r="C25" s="42" t="s">
        <v>339</v>
      </c>
      <c r="D25" s="42"/>
      <c r="E25" s="42"/>
      <c r="F25" s="42"/>
      <c r="G25" s="42"/>
      <c r="H25" s="42"/>
    </row>
    <row r="27" customFormat="false" ht="21.75" hidden="false" customHeight="true" outlineLevel="0" collapsed="false">
      <c r="A27" s="5" t="s">
        <v>340</v>
      </c>
      <c r="B27" s="5"/>
      <c r="C27" s="5"/>
      <c r="D27" s="5"/>
      <c r="E27" s="5"/>
      <c r="F27" s="5"/>
      <c r="G27" s="5"/>
      <c r="H27" s="5"/>
    </row>
    <row r="28" customFormat="false" ht="16.5" hidden="false" customHeight="true" outlineLevel="0" collapsed="false">
      <c r="A28" s="94" t="s">
        <v>341</v>
      </c>
      <c r="B28" s="94"/>
      <c r="C28" s="94"/>
      <c r="D28" s="94"/>
      <c r="E28" s="94"/>
      <c r="F28" s="94"/>
      <c r="G28" s="94"/>
      <c r="H28" s="94"/>
    </row>
    <row r="29" customFormat="false" ht="16.5" hidden="false" customHeight="true" outlineLevel="0" collapsed="false">
      <c r="A29" s="95" t="s">
        <v>342</v>
      </c>
      <c r="B29" s="95"/>
      <c r="C29" s="95"/>
      <c r="D29" s="95"/>
      <c r="E29" s="95"/>
      <c r="F29" s="95"/>
      <c r="G29" s="95"/>
      <c r="H29" s="95"/>
    </row>
    <row r="30" customFormat="false" ht="16.5" hidden="false" customHeight="true" outlineLevel="0" collapsed="false">
      <c r="A30" s="94" t="s">
        <v>343</v>
      </c>
      <c r="B30" s="94"/>
      <c r="C30" s="94"/>
      <c r="D30" s="94"/>
      <c r="E30" s="94"/>
      <c r="F30" s="94"/>
      <c r="G30" s="94"/>
      <c r="H30" s="94"/>
    </row>
    <row r="31" customFormat="false" ht="16.5" hidden="false" customHeight="true" outlineLevel="0" collapsed="false">
      <c r="A31" s="95" t="s">
        <v>344</v>
      </c>
      <c r="B31" s="95"/>
      <c r="C31" s="95"/>
      <c r="D31" s="95"/>
      <c r="E31" s="95"/>
      <c r="F31" s="95"/>
      <c r="G31" s="95"/>
      <c r="H31" s="95"/>
    </row>
    <row r="32" customFormat="false" ht="16.5" hidden="false" customHeight="true" outlineLevel="0" collapsed="false">
      <c r="A32" s="94" t="s">
        <v>345</v>
      </c>
      <c r="B32" s="94"/>
      <c r="C32" s="94"/>
      <c r="D32" s="94"/>
      <c r="E32" s="94"/>
      <c r="F32" s="94"/>
      <c r="G32" s="94"/>
      <c r="H32" s="94"/>
    </row>
    <row r="33" customFormat="false" ht="16.5" hidden="false" customHeight="true" outlineLevel="0" collapsed="false">
      <c r="A33" s="95" t="s">
        <v>346</v>
      </c>
      <c r="B33" s="95"/>
      <c r="C33" s="95"/>
      <c r="D33" s="95"/>
      <c r="E33" s="95"/>
      <c r="F33" s="95"/>
      <c r="G33" s="95"/>
      <c r="H33" s="95"/>
    </row>
    <row r="34" customFormat="false" ht="16.5" hidden="false" customHeight="true" outlineLevel="0" collapsed="false">
      <c r="A34" s="94" t="s">
        <v>347</v>
      </c>
      <c r="B34" s="94"/>
      <c r="C34" s="94"/>
      <c r="D34" s="94"/>
      <c r="E34" s="94"/>
      <c r="F34" s="94"/>
      <c r="G34" s="94"/>
      <c r="H34" s="94"/>
    </row>
    <row r="35" customFormat="false" ht="16.5" hidden="false" customHeight="true" outlineLevel="0" collapsed="false">
      <c r="A35" s="95" t="s">
        <v>348</v>
      </c>
      <c r="B35" s="95"/>
      <c r="C35" s="95"/>
      <c r="D35" s="95"/>
      <c r="E35" s="95"/>
      <c r="F35" s="95"/>
      <c r="G35" s="95"/>
      <c r="H35" s="95"/>
    </row>
    <row r="37" customFormat="false" ht="21.75" hidden="false" customHeight="true" outlineLevel="0" collapsed="false">
      <c r="A37" s="5" t="s">
        <v>306</v>
      </c>
      <c r="B37" s="5"/>
      <c r="C37" s="5"/>
      <c r="D37" s="5"/>
      <c r="E37" s="5"/>
      <c r="F37" s="5"/>
      <c r="G37" s="5"/>
      <c r="H37" s="5"/>
    </row>
    <row r="38" customFormat="false" ht="19.5" hidden="false" customHeight="true" outlineLevel="0" collapsed="false">
      <c r="A38" s="75" t="s">
        <v>349</v>
      </c>
      <c r="B38" s="75"/>
      <c r="C38" s="75"/>
      <c r="D38" s="75" t="s">
        <v>350</v>
      </c>
      <c r="E38" s="75"/>
      <c r="F38" s="75" t="s">
        <v>351</v>
      </c>
      <c r="G38" s="75"/>
      <c r="H38" s="75"/>
    </row>
    <row r="39" customFormat="false" ht="49.5" hidden="false" customHeight="true" outlineLevel="0" collapsed="false">
      <c r="A39" s="76"/>
      <c r="B39" s="76"/>
      <c r="C39" s="76"/>
      <c r="D39" s="76"/>
      <c r="E39" s="76"/>
      <c r="F39" s="76"/>
      <c r="G39" s="76"/>
      <c r="H39" s="76"/>
    </row>
    <row r="41" customFormat="false" ht="18" hidden="false" customHeight="true" outlineLevel="0" collapsed="false">
      <c r="A41" s="27" t="s">
        <v>74</v>
      </c>
      <c r="B41" s="27"/>
      <c r="C41" s="27"/>
      <c r="D41" s="27"/>
      <c r="E41" s="27"/>
      <c r="F41" s="27"/>
      <c r="G41" s="27"/>
      <c r="H41" s="27"/>
    </row>
    <row r="42" customFormat="false" ht="15" hidden="false" customHeight="true" outlineLevel="0" collapsed="false">
      <c r="A42" s="28" t="s">
        <v>75</v>
      </c>
      <c r="B42" s="28"/>
      <c r="C42" s="28"/>
      <c r="D42" s="28"/>
      <c r="E42" s="28"/>
      <c r="F42" s="28"/>
      <c r="G42" s="28"/>
      <c r="H42" s="28"/>
    </row>
    <row r="43" customFormat="false" ht="15" hidden="false" customHeight="true" outlineLevel="0" collapsed="false">
      <c r="A43" s="28" t="s">
        <v>76</v>
      </c>
      <c r="B43" s="28"/>
      <c r="C43" s="28"/>
      <c r="D43" s="28"/>
      <c r="E43" s="28"/>
      <c r="F43" s="28"/>
      <c r="G43" s="28"/>
      <c r="H43" s="28"/>
    </row>
    <row r="44" customFormat="false" ht="15" hidden="false" customHeight="true" outlineLevel="0" collapsed="false">
      <c r="A44" s="28" t="s">
        <v>77</v>
      </c>
      <c r="B44" s="28"/>
      <c r="C44" s="28"/>
      <c r="D44" s="28"/>
      <c r="E44" s="28"/>
      <c r="F44" s="28"/>
      <c r="G44" s="28"/>
      <c r="H44" s="28"/>
    </row>
    <row r="45" customFormat="false" ht="15" hidden="false" customHeight="true" outlineLevel="0" collapsed="false">
      <c r="A45" s="28" t="s">
        <v>78</v>
      </c>
      <c r="B45" s="28"/>
      <c r="C45" s="28"/>
      <c r="D45" s="28"/>
      <c r="E45" s="28"/>
      <c r="F45" s="28"/>
      <c r="G45" s="28"/>
      <c r="H45" s="28"/>
    </row>
    <row r="46" customFormat="false" ht="15" hidden="false" customHeight="true" outlineLevel="0" collapsed="false">
      <c r="A46" s="28" t="s">
        <v>79</v>
      </c>
      <c r="B46" s="28"/>
      <c r="C46" s="28"/>
      <c r="D46" s="28"/>
      <c r="E46" s="28"/>
      <c r="F46" s="28"/>
      <c r="G46" s="28"/>
      <c r="H46" s="28"/>
    </row>
    <row r="47" customFormat="false" ht="15" hidden="false" customHeight="true" outlineLevel="0" collapsed="false">
      <c r="A47" s="28" t="s">
        <v>352</v>
      </c>
      <c r="B47" s="28"/>
      <c r="C47" s="28"/>
      <c r="D47" s="28"/>
      <c r="E47" s="28"/>
      <c r="F47" s="28"/>
      <c r="G47" s="28"/>
      <c r="H47" s="28"/>
    </row>
  </sheetData>
  <mergeCells count="63">
    <mergeCell ref="A1:H1"/>
    <mergeCell ref="A2:H2"/>
    <mergeCell ref="A3:H3"/>
    <mergeCell ref="A4:H4"/>
    <mergeCell ref="A5:B5"/>
    <mergeCell ref="G5:H5"/>
    <mergeCell ref="A7:H7"/>
    <mergeCell ref="B8:C8"/>
    <mergeCell ref="G8:H8"/>
    <mergeCell ref="B9:C9"/>
    <mergeCell ref="G9:H9"/>
    <mergeCell ref="B10:C10"/>
    <mergeCell ref="E10:H10"/>
    <mergeCell ref="A12:H12"/>
    <mergeCell ref="B13:C13"/>
    <mergeCell ref="G13:H13"/>
    <mergeCell ref="B14:H14"/>
    <mergeCell ref="B15:C15"/>
    <mergeCell ref="G15:H15"/>
    <mergeCell ref="A17:H17"/>
    <mergeCell ref="A18:B18"/>
    <mergeCell ref="C18:D18"/>
    <mergeCell ref="E18:H18"/>
    <mergeCell ref="A19:B19"/>
    <mergeCell ref="C19:D19"/>
    <mergeCell ref="E19:H19"/>
    <mergeCell ref="A20:B20"/>
    <mergeCell ref="C20:D20"/>
    <mergeCell ref="E20:H20"/>
    <mergeCell ref="A21:B21"/>
    <mergeCell ref="C21:D21"/>
    <mergeCell ref="E21:H21"/>
    <mergeCell ref="A22:B22"/>
    <mergeCell ref="C22:D22"/>
    <mergeCell ref="E22:H22"/>
    <mergeCell ref="A23:B23"/>
    <mergeCell ref="C23:D23"/>
    <mergeCell ref="E23:H23"/>
    <mergeCell ref="A25:B25"/>
    <mergeCell ref="C25:H25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7:H37"/>
    <mergeCell ref="A38:C38"/>
    <mergeCell ref="D38:E38"/>
    <mergeCell ref="F38:H38"/>
    <mergeCell ref="A39:C39"/>
    <mergeCell ref="D39:E39"/>
    <mergeCell ref="F39:H39"/>
    <mergeCell ref="A41:H41"/>
    <mergeCell ref="A42:H42"/>
    <mergeCell ref="A43:H43"/>
    <mergeCell ref="A44:H44"/>
    <mergeCell ref="A45:H45"/>
    <mergeCell ref="A46:H46"/>
    <mergeCell ref="A47:H47"/>
  </mergeCells>
  <dataValidations count="2">
    <dataValidation allowBlank="true" errorStyle="stop" operator="between" showDropDown="false" showErrorMessage="false" showInputMessage="false" sqref="B15" type="list">
      <formula1>"با سوخت,بدون سوخت"</formula1>
      <formula2>0</formula2>
    </dataValidation>
    <dataValidation allowBlank="true" errorStyle="stop" operator="between" showDropDown="false" showErrorMessage="false" showInputMessage="false" sqref="C23" type="list">
      <formula1>"نقدی – ماهوار,حواله بانکی – ماهوار,نقدی – روزانه,مطابق توافق"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H4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15"/>
    <col collapsed="false" customWidth="true" hidden="false" outlineLevel="0" max="4" min="4" style="1" width="20"/>
    <col collapsed="false" customWidth="true" hidden="false" outlineLevel="0" max="5" min="5" style="1" width="15"/>
    <col collapsed="false" customWidth="true" hidden="false" outlineLevel="0" max="6" min="6" style="1" width="18"/>
    <col collapsed="false" customWidth="true" hidden="false" outlineLevel="0" max="7" min="7" style="1" width="15"/>
    <col collapsed="false" customWidth="true" hidden="false" outlineLevel="0" max="8" min="8" style="1" width="20"/>
  </cols>
  <sheetData>
    <row r="1" customFormat="false" ht="21.75" hidden="false" customHeight="true" outlineLevel="0" collapsed="false">
      <c r="A1" s="29" t="str">
        <f aca="false">'فهرست و راهنما'!$C$5</f>
        <v>مؤسسهٔ خیریه، فرهنگی و اجتماعی منجی موعود ( عج )</v>
      </c>
      <c r="B1" s="29"/>
      <c r="C1" s="29"/>
      <c r="D1" s="29"/>
      <c r="E1" s="29"/>
      <c r="F1" s="29"/>
      <c r="G1" s="29"/>
      <c r="H1" s="29"/>
    </row>
    <row r="2" customFormat="false" ht="18" hidden="false" customHeight="true" outlineLevel="0" collapsed="false">
      <c r="A2" s="3" t="str">
        <f aca="false">'فهرست و راهنما'!$C$6</f>
        <v>تحت اشراف حاج آقای مصباح موسوی، نمایندهٔ مرجع عالیقدر شیعه حضرت آیت‌الله العظمی سیستانی ( دام ظله العالی )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30" t="str">
        <f aca="false">"نامهٔ انتقال خانوادهٔ تحت پوشش"</f>
        <v>نامهٔ انتقال خانوادهٔ تحت پوشش</v>
      </c>
      <c r="B3" s="30"/>
      <c r="C3" s="30"/>
      <c r="D3" s="30"/>
      <c r="E3" s="30"/>
      <c r="F3" s="30"/>
      <c r="G3" s="30"/>
      <c r="H3" s="30"/>
    </row>
    <row r="4" customFormat="false" ht="13.5" hidden="false" customHeight="true" outlineLevel="0" collapsed="false">
      <c r="A4" s="31" t="str">
        <f aca="false">"کود فورم:  ORP-02"</f>
        <v>کود فورم:  ORP-02</v>
      </c>
      <c r="B4" s="31"/>
      <c r="C4" s="31"/>
      <c r="D4" s="31"/>
      <c r="E4" s="31"/>
      <c r="F4" s="31"/>
      <c r="G4" s="31"/>
      <c r="H4" s="31"/>
    </row>
    <row r="5" customFormat="false" ht="19.5" hidden="false" customHeight="true" outlineLevel="0" collapsed="false">
      <c r="A5" s="6" t="s">
        <v>84</v>
      </c>
      <c r="B5" s="6"/>
      <c r="C5" s="10"/>
      <c r="D5" s="6" t="s">
        <v>82</v>
      </c>
      <c r="E5" s="10"/>
      <c r="F5" s="6" t="s">
        <v>98</v>
      </c>
      <c r="G5" s="25" t="str">
        <f aca="false">IF('فهرست و راهنما'!$C$7="","",'فهرست و راهنما'!$C$7&amp;"  –  ")&amp;'فهرست و راهنما'!$C$8&amp;" / "&amp;'فهرست و راهنما'!$C$9</f>
        <v> / </v>
      </c>
      <c r="H5" s="25"/>
    </row>
    <row r="6" customFormat="false" ht="6" hidden="false" customHeight="true" outlineLevel="0" collapsed="false"/>
    <row r="7" customFormat="false" ht="21.75" hidden="false" customHeight="true" outlineLevel="0" collapsed="false">
      <c r="A7" s="5" t="s">
        <v>353</v>
      </c>
      <c r="B7" s="5"/>
      <c r="C7" s="5"/>
      <c r="D7" s="5"/>
      <c r="E7" s="5"/>
      <c r="F7" s="5"/>
      <c r="G7" s="5"/>
      <c r="H7" s="5"/>
    </row>
    <row r="8" customFormat="false" ht="19.5" hidden="false" customHeight="true" outlineLevel="0" collapsed="false">
      <c r="A8" s="6" t="s">
        <v>354</v>
      </c>
      <c r="B8" s="10"/>
      <c r="C8" s="10"/>
      <c r="D8" s="6" t="s">
        <v>355</v>
      </c>
      <c r="E8" s="7"/>
      <c r="F8" s="7"/>
      <c r="G8" s="7"/>
      <c r="H8" s="7"/>
    </row>
    <row r="10" customFormat="false" ht="21.75" hidden="false" customHeight="true" outlineLevel="0" collapsed="false">
      <c r="A10" s="5" t="s">
        <v>356</v>
      </c>
      <c r="B10" s="5"/>
      <c r="C10" s="5"/>
      <c r="D10" s="5"/>
      <c r="E10" s="5"/>
      <c r="F10" s="5"/>
      <c r="G10" s="5"/>
      <c r="H10" s="5"/>
    </row>
    <row r="11" customFormat="false" ht="19.5" hidden="false" customHeight="true" outlineLevel="0" collapsed="false">
      <c r="A11" s="6" t="s">
        <v>357</v>
      </c>
      <c r="B11" s="10"/>
      <c r="C11" s="10"/>
      <c r="D11" s="6" t="s">
        <v>298</v>
      </c>
      <c r="E11" s="10"/>
      <c r="F11" s="6" t="s">
        <v>358</v>
      </c>
      <c r="G11" s="10"/>
      <c r="H11" s="10"/>
    </row>
    <row r="12" customFormat="false" ht="19.5" hidden="false" customHeight="true" outlineLevel="0" collapsed="false">
      <c r="A12" s="6" t="s">
        <v>359</v>
      </c>
      <c r="B12" s="11"/>
      <c r="C12" s="11"/>
      <c r="D12" s="6" t="s">
        <v>360</v>
      </c>
      <c r="E12" s="10"/>
      <c r="F12" s="6" t="s">
        <v>361</v>
      </c>
      <c r="G12" s="10"/>
      <c r="H12" s="10"/>
    </row>
    <row r="13" customFormat="false" ht="19.5" hidden="false" customHeight="true" outlineLevel="0" collapsed="false">
      <c r="A13" s="6" t="s">
        <v>362</v>
      </c>
      <c r="B13" s="10"/>
      <c r="C13" s="10"/>
      <c r="D13" s="6" t="s">
        <v>103</v>
      </c>
      <c r="E13" s="11"/>
      <c r="F13" s="6" t="s">
        <v>363</v>
      </c>
      <c r="G13" s="11"/>
      <c r="H13" s="11"/>
    </row>
    <row r="14" customFormat="false" ht="21.75" hidden="false" customHeight="true" outlineLevel="0" collapsed="false">
      <c r="A14" s="6" t="s">
        <v>364</v>
      </c>
      <c r="B14" s="7"/>
      <c r="C14" s="7"/>
      <c r="D14" s="7"/>
      <c r="E14" s="7"/>
      <c r="F14" s="7"/>
      <c r="G14" s="7"/>
      <c r="H14" s="7"/>
    </row>
    <row r="16" customFormat="false" ht="21.75" hidden="false" customHeight="true" outlineLevel="0" collapsed="false">
      <c r="A16" s="5" t="s">
        <v>365</v>
      </c>
      <c r="B16" s="5"/>
      <c r="C16" s="5"/>
      <c r="D16" s="5"/>
      <c r="E16" s="5"/>
      <c r="F16" s="5"/>
      <c r="G16" s="5"/>
      <c r="H16" s="5"/>
    </row>
    <row r="17" customFormat="false" ht="19.5" hidden="false" customHeight="true" outlineLevel="0" collapsed="false">
      <c r="A17" s="93" t="s">
        <v>366</v>
      </c>
      <c r="B17" s="93"/>
      <c r="C17" s="93"/>
      <c r="D17" s="93"/>
      <c r="E17" s="93"/>
      <c r="F17" s="93"/>
      <c r="G17" s="93"/>
      <c r="H17" s="93"/>
    </row>
    <row r="18" customFormat="false" ht="19.5" hidden="false" customHeight="true" outlineLevel="0" collapsed="false">
      <c r="A18" s="93" t="str">
        <f aca="false">"به دفتر محترم ایتام ولایت "&amp;B8&amp;"  !"</f>
        <v>به دفتر محترم ایتام ولایت   !</v>
      </c>
      <c r="B18" s="93"/>
      <c r="C18" s="93"/>
      <c r="D18" s="93"/>
      <c r="E18" s="93"/>
      <c r="F18" s="93"/>
      <c r="G18" s="93"/>
      <c r="H18" s="93"/>
    </row>
    <row r="19" customFormat="false" ht="19.5" hidden="false" customHeight="true" outlineLevel="0" collapsed="false">
      <c r="A19" s="89" t="s">
        <v>367</v>
      </c>
      <c r="B19" s="89"/>
      <c r="C19" s="89"/>
      <c r="D19" s="89"/>
      <c r="E19" s="89"/>
      <c r="F19" s="89"/>
      <c r="G19" s="89"/>
      <c r="H19" s="89"/>
    </row>
    <row r="20" customFormat="false" ht="57.75" hidden="false" customHeight="true" outlineLevel="0" collapsed="false">
      <c r="A20" s="93" t="str">
        <f aca="false">"محترم / محترمه ( "&amp;B11&amp;" ) فرزند ( "&amp;E11&amp;" ) دارندهٔ کد عمومی ( "&amp;G11&amp;" ) با تعداد ( "&amp;B12&amp;" ) یتیم تحت سرپرستی، که قبلاً شهریهٔ خود را از ولایت ( "&amp;E12&amp;" ) دریافت می‌نمودند و تا برج ( "&amp;B13&amp;" ) سال ( "&amp;E13&amp;" ) شهریه دریافت نموده‌اند، اینک این خانواده جهت انتقال به ولایت ( "&amp;G12&amp;" ) به ضمیمهٔ ( "&amp;G13&amp;" ) ورق کاپی پرونده، به آن دفتر معرفی می‌گردند.  امید است در زمینه همکاری‌های لازم مبذول داشته و از نتیجه، این دفتر را اطمینان بخشید."</f>
        <v>محترم / محترمه (  ) فرزند (  ) دارندهٔ کد عمومی (  ) با تعداد (  ) یتیم تحت سرپرستی، که قبلاً شهریهٔ خود را از ولایت (  ) دریافت می‌نمودند و تا برج (  ) سال (  ) شهریه دریافت نموده‌اند، اینک این خانواده جهت انتقال به ولایت (  ) به ضمیمهٔ (  ) ورق کاپی پرونده، به آن دفتر معرفی می‌گردند.  امید است در زمینه همکاری‌های لازم مبذول داشته و از نتیجه، این دفتر را اطمینان بخشید.</v>
      </c>
      <c r="B20" s="93"/>
      <c r="C20" s="93"/>
      <c r="D20" s="93"/>
      <c r="E20" s="93"/>
      <c r="F20" s="93"/>
      <c r="G20" s="93"/>
      <c r="H20" s="93"/>
    </row>
    <row r="21" customFormat="false" ht="19.5" hidden="false" customHeight="true" outlineLevel="0" collapsed="false">
      <c r="A21" s="93" t="s">
        <v>368</v>
      </c>
      <c r="B21" s="93"/>
      <c r="C21" s="93"/>
      <c r="D21" s="93"/>
      <c r="E21" s="93"/>
      <c r="F21" s="93"/>
      <c r="G21" s="93"/>
      <c r="H21" s="93"/>
    </row>
    <row r="23" customFormat="false" ht="21.75" hidden="false" customHeight="true" outlineLevel="0" collapsed="false">
      <c r="A23" s="5" t="s">
        <v>369</v>
      </c>
      <c r="B23" s="5"/>
      <c r="C23" s="5"/>
      <c r="D23" s="5"/>
      <c r="E23" s="5"/>
      <c r="F23" s="5"/>
      <c r="G23" s="5"/>
      <c r="H23" s="5"/>
    </row>
    <row r="24" customFormat="false" ht="21.75" hidden="false" customHeight="true" outlineLevel="0" collapsed="false">
      <c r="A24" s="12" t="s">
        <v>81</v>
      </c>
      <c r="B24" s="12" t="s">
        <v>370</v>
      </c>
      <c r="C24" s="12"/>
      <c r="D24" s="12"/>
      <c r="E24" s="12"/>
      <c r="F24" s="12" t="s">
        <v>371</v>
      </c>
      <c r="G24" s="12" t="s">
        <v>113</v>
      </c>
      <c r="H24" s="12"/>
    </row>
    <row r="25" customFormat="false" ht="18.75" hidden="false" customHeight="true" outlineLevel="0" collapsed="false">
      <c r="A25" s="13" t="n">
        <v>1</v>
      </c>
      <c r="B25" s="7"/>
      <c r="C25" s="7"/>
      <c r="D25" s="7"/>
      <c r="E25" s="7"/>
      <c r="F25" s="11"/>
      <c r="G25" s="7"/>
      <c r="H25" s="7"/>
    </row>
    <row r="26" customFormat="false" ht="18.75" hidden="false" customHeight="true" outlineLevel="0" collapsed="false">
      <c r="A26" s="18" t="n">
        <v>2</v>
      </c>
      <c r="B26" s="7"/>
      <c r="C26" s="7"/>
      <c r="D26" s="7"/>
      <c r="E26" s="7"/>
      <c r="F26" s="11"/>
      <c r="G26" s="7"/>
      <c r="H26" s="7"/>
    </row>
    <row r="27" customFormat="false" ht="18.75" hidden="false" customHeight="true" outlineLevel="0" collapsed="false">
      <c r="A27" s="13" t="n">
        <v>3</v>
      </c>
      <c r="B27" s="7"/>
      <c r="C27" s="7"/>
      <c r="D27" s="7"/>
      <c r="E27" s="7"/>
      <c r="F27" s="11"/>
      <c r="G27" s="7"/>
      <c r="H27" s="7"/>
    </row>
    <row r="28" customFormat="false" ht="18.75" hidden="false" customHeight="true" outlineLevel="0" collapsed="false">
      <c r="A28" s="18" t="n">
        <v>4</v>
      </c>
      <c r="B28" s="7"/>
      <c r="C28" s="7"/>
      <c r="D28" s="7"/>
      <c r="E28" s="7"/>
      <c r="F28" s="11"/>
      <c r="G28" s="7"/>
      <c r="H28" s="7"/>
    </row>
    <row r="29" customFormat="false" ht="18.75" hidden="false" customHeight="true" outlineLevel="0" collapsed="false">
      <c r="A29" s="13" t="n">
        <v>5</v>
      </c>
      <c r="B29" s="7"/>
      <c r="C29" s="7"/>
      <c r="D29" s="7"/>
      <c r="E29" s="7"/>
      <c r="F29" s="11"/>
      <c r="G29" s="7"/>
      <c r="H29" s="7"/>
    </row>
    <row r="30" customFormat="false" ht="21" hidden="false" customHeight="true" outlineLevel="0" collapsed="false">
      <c r="A30" s="45" t="s">
        <v>372</v>
      </c>
      <c r="B30" s="45"/>
      <c r="C30" s="45"/>
      <c r="D30" s="45"/>
      <c r="E30" s="45"/>
      <c r="F30" s="92" t="n">
        <f aca="false">SUM(F25:F29)</f>
        <v>0</v>
      </c>
      <c r="G30" s="37" t="str">
        <f aca="false">IF(F30=G13,"مطابقت دارد","اختلاف با متن نامه")</f>
        <v>مطابقت دارد</v>
      </c>
      <c r="H30" s="37"/>
    </row>
    <row r="32" customFormat="false" ht="21.75" hidden="false" customHeight="true" outlineLevel="0" collapsed="false">
      <c r="A32" s="5" t="s">
        <v>306</v>
      </c>
      <c r="B32" s="5"/>
      <c r="C32" s="5"/>
      <c r="D32" s="5"/>
      <c r="E32" s="5"/>
      <c r="F32" s="5"/>
      <c r="G32" s="5"/>
      <c r="H32" s="5"/>
    </row>
    <row r="33" customFormat="false" ht="19.5" hidden="false" customHeight="true" outlineLevel="0" collapsed="false">
      <c r="A33" s="75" t="s">
        <v>373</v>
      </c>
      <c r="B33" s="75"/>
      <c r="C33" s="75"/>
      <c r="D33" s="75"/>
      <c r="E33" s="75" t="s">
        <v>374</v>
      </c>
      <c r="F33" s="75"/>
      <c r="G33" s="75"/>
      <c r="H33" s="75"/>
    </row>
    <row r="34" customFormat="false" ht="48" hidden="false" customHeight="true" outlineLevel="0" collapsed="false">
      <c r="A34" s="76"/>
      <c r="B34" s="76"/>
      <c r="C34" s="76"/>
      <c r="D34" s="76"/>
      <c r="E34" s="76"/>
      <c r="F34" s="76"/>
      <c r="G34" s="76"/>
      <c r="H34" s="76"/>
    </row>
    <row r="35" customFormat="false" ht="19.5" hidden="false" customHeight="true" outlineLevel="0" collapsed="false">
      <c r="A35" s="6" t="s">
        <v>375</v>
      </c>
      <c r="B35" s="6"/>
      <c r="C35" s="10"/>
      <c r="D35" s="10"/>
      <c r="E35" s="6" t="s">
        <v>376</v>
      </c>
      <c r="F35" s="10"/>
      <c r="G35" s="10"/>
      <c r="H35" s="10"/>
    </row>
    <row r="37" customFormat="false" ht="18" hidden="false" customHeight="true" outlineLevel="0" collapsed="false">
      <c r="A37" s="27" t="s">
        <v>74</v>
      </c>
      <c r="B37" s="27"/>
      <c r="C37" s="27"/>
      <c r="D37" s="27"/>
      <c r="E37" s="27"/>
      <c r="F37" s="27"/>
      <c r="G37" s="27"/>
      <c r="H37" s="27"/>
    </row>
    <row r="38" customFormat="false" ht="15" hidden="false" customHeight="true" outlineLevel="0" collapsed="false">
      <c r="A38" s="28" t="s">
        <v>75</v>
      </c>
      <c r="B38" s="28"/>
      <c r="C38" s="28"/>
      <c r="D38" s="28"/>
      <c r="E38" s="28"/>
      <c r="F38" s="28"/>
      <c r="G38" s="28"/>
      <c r="H38" s="28"/>
    </row>
    <row r="39" customFormat="false" ht="15" hidden="false" customHeight="true" outlineLevel="0" collapsed="false">
      <c r="A39" s="28" t="s">
        <v>76</v>
      </c>
      <c r="B39" s="28"/>
      <c r="C39" s="28"/>
      <c r="D39" s="28"/>
      <c r="E39" s="28"/>
      <c r="F39" s="28"/>
      <c r="G39" s="28"/>
      <c r="H39" s="28"/>
    </row>
    <row r="40" customFormat="false" ht="15" hidden="false" customHeight="true" outlineLevel="0" collapsed="false">
      <c r="A40" s="28" t="s">
        <v>77</v>
      </c>
      <c r="B40" s="28"/>
      <c r="C40" s="28"/>
      <c r="D40" s="28"/>
      <c r="E40" s="28"/>
      <c r="F40" s="28"/>
      <c r="G40" s="28"/>
      <c r="H40" s="28"/>
    </row>
    <row r="41" customFormat="false" ht="15" hidden="false" customHeight="true" outlineLevel="0" collapsed="false">
      <c r="A41" s="28" t="s">
        <v>78</v>
      </c>
      <c r="B41" s="28"/>
      <c r="C41" s="28"/>
      <c r="D41" s="28"/>
      <c r="E41" s="28"/>
      <c r="F41" s="28"/>
      <c r="G41" s="28"/>
      <c r="H41" s="28"/>
    </row>
    <row r="42" customFormat="false" ht="15" hidden="false" customHeight="true" outlineLevel="0" collapsed="false">
      <c r="A42" s="28" t="s">
        <v>79</v>
      </c>
      <c r="B42" s="28"/>
      <c r="C42" s="28"/>
      <c r="D42" s="28"/>
      <c r="E42" s="28"/>
      <c r="F42" s="28"/>
      <c r="G42" s="28"/>
      <c r="H42" s="28"/>
    </row>
    <row r="43" customFormat="false" ht="15" hidden="false" customHeight="true" outlineLevel="0" collapsed="false">
      <c r="A43" s="28" t="s">
        <v>377</v>
      </c>
      <c r="B43" s="28"/>
      <c r="C43" s="28"/>
      <c r="D43" s="28"/>
      <c r="E43" s="28"/>
      <c r="F43" s="28"/>
      <c r="G43" s="28"/>
      <c r="H43" s="28"/>
    </row>
    <row r="44" customFormat="false" ht="15" hidden="false" customHeight="true" outlineLevel="0" collapsed="false">
      <c r="A44" s="28" t="s">
        <v>378</v>
      </c>
      <c r="B44" s="28"/>
      <c r="C44" s="28"/>
      <c r="D44" s="28"/>
      <c r="E44" s="28"/>
      <c r="F44" s="28"/>
      <c r="G44" s="28"/>
      <c r="H44" s="28"/>
    </row>
  </sheetData>
  <mergeCells count="54">
    <mergeCell ref="A1:H1"/>
    <mergeCell ref="A2:H2"/>
    <mergeCell ref="A3:H3"/>
    <mergeCell ref="A4:H4"/>
    <mergeCell ref="A5:B5"/>
    <mergeCell ref="G5:H5"/>
    <mergeCell ref="A7:H7"/>
    <mergeCell ref="B8:C8"/>
    <mergeCell ref="E8:H8"/>
    <mergeCell ref="A10:H10"/>
    <mergeCell ref="B11:C11"/>
    <mergeCell ref="G11:H11"/>
    <mergeCell ref="B12:C12"/>
    <mergeCell ref="G12:H12"/>
    <mergeCell ref="B13:C13"/>
    <mergeCell ref="G13:H13"/>
    <mergeCell ref="B14:H14"/>
    <mergeCell ref="A16:H16"/>
    <mergeCell ref="A17:H17"/>
    <mergeCell ref="A18:H18"/>
    <mergeCell ref="A19:H19"/>
    <mergeCell ref="A20:H20"/>
    <mergeCell ref="A21:H21"/>
    <mergeCell ref="A23:H23"/>
    <mergeCell ref="B24:E24"/>
    <mergeCell ref="G24:H24"/>
    <mergeCell ref="B25:E25"/>
    <mergeCell ref="G25:H25"/>
    <mergeCell ref="B26:E26"/>
    <mergeCell ref="G26:H26"/>
    <mergeCell ref="B27:E27"/>
    <mergeCell ref="G27:H27"/>
    <mergeCell ref="B28:E28"/>
    <mergeCell ref="G28:H28"/>
    <mergeCell ref="B29:E29"/>
    <mergeCell ref="G29:H29"/>
    <mergeCell ref="A30:E30"/>
    <mergeCell ref="G30:H30"/>
    <mergeCell ref="A32:H32"/>
    <mergeCell ref="A33:D33"/>
    <mergeCell ref="E33:H33"/>
    <mergeCell ref="A34:D34"/>
    <mergeCell ref="E34:H34"/>
    <mergeCell ref="A35:B35"/>
    <mergeCell ref="C35:D35"/>
    <mergeCell ref="F35:H35"/>
    <mergeCell ref="A37:H37"/>
    <mergeCell ref="A38:H38"/>
    <mergeCell ref="A39:H39"/>
    <mergeCell ref="A40:H40"/>
    <mergeCell ref="A41:H41"/>
    <mergeCell ref="A42:H42"/>
    <mergeCell ref="A43:H43"/>
    <mergeCell ref="A44:H44"/>
  </mergeCells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96" t="s">
        <v>379</v>
      </c>
      <c r="C1" s="96" t="s">
        <v>380</v>
      </c>
    </row>
    <row r="2" customFormat="false" ht="15" hidden="false" customHeight="true" outlineLevel="0" collapsed="false">
      <c r="A2" s="96" t="s">
        <v>381</v>
      </c>
      <c r="B2" s="96" t="s">
        <v>382</v>
      </c>
      <c r="C2" s="96" t="s">
        <v>383</v>
      </c>
    </row>
    <row r="3" customFormat="false" ht="15" hidden="false" customHeight="true" outlineLevel="0" collapsed="false">
      <c r="A3" s="96" t="s">
        <v>384</v>
      </c>
      <c r="B3" s="96" t="s">
        <v>385</v>
      </c>
      <c r="C3" s="96" t="s">
        <v>386</v>
      </c>
    </row>
    <row r="4" customFormat="false" ht="15" hidden="false" customHeight="true" outlineLevel="0" collapsed="false">
      <c r="A4" s="96" t="s">
        <v>387</v>
      </c>
      <c r="B4" s="96" t="s">
        <v>388</v>
      </c>
      <c r="C4" s="96" t="s">
        <v>389</v>
      </c>
    </row>
    <row r="5" customFormat="false" ht="15" hidden="false" customHeight="true" outlineLevel="0" collapsed="false">
      <c r="A5" s="96" t="s">
        <v>390</v>
      </c>
      <c r="B5" s="96" t="s">
        <v>391</v>
      </c>
      <c r="C5" s="96" t="s">
        <v>392</v>
      </c>
    </row>
    <row r="6" customFormat="false" ht="15" hidden="false" customHeight="true" outlineLevel="0" collapsed="false">
      <c r="A6" s="96" t="s">
        <v>393</v>
      </c>
      <c r="B6" s="96" t="s">
        <v>394</v>
      </c>
      <c r="C6" s="96" t="s">
        <v>395</v>
      </c>
    </row>
    <row r="7" customFormat="false" ht="15" hidden="false" customHeight="true" outlineLevel="0" collapsed="false">
      <c r="A7" s="96" t="s">
        <v>396</v>
      </c>
      <c r="B7" s="96" t="s">
        <v>397</v>
      </c>
      <c r="C7" s="96" t="s">
        <v>398</v>
      </c>
    </row>
    <row r="8" customFormat="false" ht="15" hidden="false" customHeight="true" outlineLevel="0" collapsed="false">
      <c r="A8" s="96" t="s">
        <v>399</v>
      </c>
      <c r="B8" s="96" t="s">
        <v>400</v>
      </c>
      <c r="C8" s="96" t="s">
        <v>401</v>
      </c>
    </row>
    <row r="9" customFormat="false" ht="15" hidden="false" customHeight="true" outlineLevel="0" collapsed="false">
      <c r="A9" s="96" t="s">
        <v>402</v>
      </c>
      <c r="B9" s="96" t="s">
        <v>403</v>
      </c>
      <c r="C9" s="96" t="s">
        <v>404</v>
      </c>
    </row>
    <row r="10" customFormat="false" ht="15" hidden="false" customHeight="true" outlineLevel="0" collapsed="false">
      <c r="A10" s="96" t="s">
        <v>405</v>
      </c>
    </row>
    <row r="11" customFormat="false" ht="15" hidden="false" customHeight="true" outlineLevel="0" collapsed="false">
      <c r="A11" s="96" t="s">
        <v>406</v>
      </c>
    </row>
    <row r="12" customFormat="false" ht="15" hidden="false" customHeight="true" outlineLevel="0" collapsed="false">
      <c r="A12" s="96" t="s">
        <v>407</v>
      </c>
    </row>
    <row r="13" customFormat="false" ht="15" hidden="false" customHeight="true" outlineLevel="0" collapsed="false">
      <c r="A13" s="96" t="s">
        <v>408</v>
      </c>
    </row>
    <row r="14" customFormat="false" ht="15" hidden="false" customHeight="true" outlineLevel="0" collapsed="false">
      <c r="A14" s="96" t="s">
        <v>409</v>
      </c>
    </row>
    <row r="15" customFormat="false" ht="15" hidden="false" customHeight="true" outlineLevel="0" collapsed="false">
      <c r="A15" s="96" t="s">
        <v>410</v>
      </c>
    </row>
    <row r="16" customFormat="false" ht="15" hidden="false" customHeight="true" outlineLevel="0" collapsed="false">
      <c r="A16" s="96" t="s">
        <v>411</v>
      </c>
    </row>
    <row r="17" customFormat="false" ht="15" hidden="false" customHeight="true" outlineLevel="0" collapsed="false">
      <c r="A17" s="96" t="s">
        <v>412</v>
      </c>
    </row>
    <row r="18" customFormat="false" ht="15" hidden="false" customHeight="true" outlineLevel="0" collapsed="false">
      <c r="A18" s="96" t="s">
        <v>413</v>
      </c>
    </row>
    <row r="19" customFormat="false" ht="15" hidden="false" customHeight="true" outlineLevel="0" collapsed="false">
      <c r="A19" s="96" t="s">
        <v>414</v>
      </c>
    </row>
    <row r="20" customFormat="false" ht="15" hidden="false" customHeight="true" outlineLevel="0" collapsed="false">
      <c r="A20" s="96" t="s">
        <v>415</v>
      </c>
    </row>
    <row r="21" customFormat="false" ht="15" hidden="false" customHeight="true" outlineLevel="0" collapsed="false">
      <c r="E21" s="96" t="s">
        <v>416</v>
      </c>
      <c r="H21" s="96" t="s">
        <v>417</v>
      </c>
    </row>
    <row r="22" customFormat="false" ht="15" hidden="false" customHeight="true" outlineLevel="0" collapsed="false">
      <c r="E22" s="97" t="n">
        <f aca="false">'سند پرداخت وجه'!F23</f>
        <v>0</v>
      </c>
    </row>
    <row r="23" customFormat="false" ht="15" hidden="false" customHeight="true" outlineLevel="0" collapsed="false">
      <c r="E23" s="1" t="n">
        <f aca="false">INT(E22/1000000)</f>
        <v>0</v>
      </c>
      <c r="F23" s="1" t="str">
        <f aca="false">IF(E23=0,"",IF(INT(E23/100)=0,"",INDEX($C$1:$C$9,INT(E23/100)))&amp;IF(AND(INT(E23/100)&gt;0,MOD(E23,100)&gt;0)," و ","")&amp;IF(MOD(E23,100)=0,"",IF(MOD(E23,100)&lt;20,INDEX($A$1:$A$20,MOD(E23,100)+1),INDEX($B$1:$B$9,INT(MOD(E23,100)/10))&amp;IF(MOD(E23,10)=0,""," و "&amp;INDEX($A$1:$A$20,MOD(E23,10)+1)))))</f>
        <v/>
      </c>
    </row>
    <row r="24" customFormat="false" ht="15" hidden="false" customHeight="true" outlineLevel="0" collapsed="false">
      <c r="E24" s="1" t="n">
        <f aca="false">INT(MOD(E22,1000000)/1000)</f>
        <v>0</v>
      </c>
      <c r="F24" s="1" t="str">
        <f aca="false">IF(E24=0,"",IF(INT(E24/100)=0,"",INDEX($C$1:$C$9,INT(E24/100)))&amp;IF(AND(INT(E24/100)&gt;0,MOD(E24,100)&gt;0)," و ","")&amp;IF(MOD(E24,100)=0,"",IF(MOD(E24,100)&lt;20,INDEX($A$1:$A$20,MOD(E24,100)+1),INDEX($B$1:$B$9,INT(MOD(E24,100)/10))&amp;IF(MOD(E24,10)=0,""," و "&amp;INDEX($A$1:$A$20,MOD(E24,10)+1)))))</f>
        <v/>
      </c>
    </row>
    <row r="25" customFormat="false" ht="15" hidden="false" customHeight="true" outlineLevel="0" collapsed="false">
      <c r="E25" s="1" t="n">
        <f aca="false">MOD(E22,1000)</f>
        <v>0</v>
      </c>
      <c r="F25" s="1" t="str">
        <f aca="false">IF(E25=0,"",IF(INT(E25/100)=0,"",INDEX($C$1:$C$9,INT(E25/100)))&amp;IF(AND(INT(E25/100)&gt;0,MOD(E25,100)&gt;0)," و ","")&amp;IF(MOD(E25,100)=0,"",IF(MOD(E25,100)&lt;20,INDEX($A$1:$A$20,MOD(E25,100)+1),INDEX($B$1:$B$9,INT(MOD(E25,100)/10))&amp;IF(MOD(E25,10)=0,""," و "&amp;INDEX($A$1:$A$20,MOD(E25,10)+1)))))</f>
        <v/>
      </c>
    </row>
    <row r="27" customFormat="false" ht="15" hidden="false" customHeight="true" outlineLevel="0" collapsed="false">
      <c r="F27" s="1" t="str">
        <f aca="false">IF(E22=0,"صفر افغانی",IF(F23="","",F23&amp;" میلیون")&amp;IF(AND(F23&lt;&gt;"",OR(F24&lt;&gt;"",F25&lt;&gt;""))," و ","")&amp;IF(F24="","",F24&amp;" هزار")&amp;IF(AND(F24&lt;&gt;"",F25&lt;&gt;"")," و ","")&amp;F25&amp;" افغانی")</f>
        <v>صفر افغانی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2026-08-29T09:22:12Z</dcterms:created>
  <dc:creator>openpyxl</dc:creator>
  <dc:description/>
  <dc:language>en-US</dc:language>
  <cp:lastModifiedBy/>
  <dcterms:modified xsi:type="dcterms:W3CDTF">2026-08-29T09:43:20Z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